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codeName="ThisWorkbook" defaultThemeVersion="166925"/>
  <mc:AlternateContent xmlns:mc="http://schemas.openxmlformats.org/markup-compatibility/2006">
    <mc:Choice Requires="x15">
      <x15ac:absPath xmlns:x15ac="http://schemas.microsoft.com/office/spreadsheetml/2010/11/ac" url="https://tud365-my.sharepoint.com/personal/gmiakishev_tudelft_nl/Documents/"/>
    </mc:Choice>
  </mc:AlternateContent>
  <xr:revisionPtr revIDLastSave="0" documentId="8_{CEE806FF-CE54-4DB9-9B2A-459E5F357836}" xr6:coauthVersionLast="47" xr6:coauthVersionMax="47" xr10:uidLastSave="{00000000-0000-0000-0000-000000000000}"/>
  <bookViews>
    <workbookView xWindow="-120" yWindow="-120" windowWidth="38640" windowHeight="21120" tabRatio="876" firstSheet="20" activeTab="3" xr2:uid="{30D17062-9EAA-4DAB-9089-D9ECC9D89895}"/>
  </bookViews>
  <sheets>
    <sheet name="cg_loading" sheetId="19" r:id="rId1"/>
    <sheet name="cg_loading_exx" sheetId="31" r:id="rId2"/>
    <sheet name="CRJ-1000 Loading Diagram" sheetId="23" r:id="rId3"/>
    <sheet name="CRJ-EXX Loading Diagram" sheetId="24" r:id="rId4"/>
    <sheet name="CG Range" sheetId="25" r:id="rId5"/>
    <sheet name="Weight Pie Charts" sheetId="20" r:id="rId6"/>
    <sheet name="pay, load, stuff" sheetId="26" r:id="rId7"/>
    <sheet name="DEPRECATED" sheetId="32" r:id="rId8"/>
    <sheet name="Stability CRJ-EXX" sheetId="33" r:id="rId9"/>
    <sheet name="Stability CRJ1000" sheetId="29" r:id="rId10"/>
    <sheet name="Fuselage" sheetId="7" r:id="rId11"/>
    <sheet name="Cover sheet" sheetId="1" r:id="rId12"/>
    <sheet name="TLAR" sheetId="5" r:id="rId13"/>
    <sheet name="Reference Aircraft" sheetId="4" state="hidden" r:id="rId14"/>
    <sheet name="Configuration Selection" sheetId="6" state="hidden" r:id="rId15"/>
    <sheet name="Drag Polar" sheetId="8" r:id="rId16"/>
    <sheet name="Mass Estimation" sheetId="9" r:id="rId17"/>
    <sheet name="Is this updated question mark" sheetId="22" r:id="rId18"/>
    <sheet name="Sheet1" sheetId="16" state="hidden" r:id="rId19"/>
    <sheet name="Matching Diagram" sheetId="3" state="hidden" r:id="rId20"/>
    <sheet name="Wing" sheetId="11" r:id="rId21"/>
    <sheet name="Propulsion System" sheetId="14" state="hidden" r:id="rId22"/>
    <sheet name="Propultion System 2" sheetId="18" state="hidden" r:id="rId23"/>
    <sheet name="CG and Loading Diagram" sheetId="15" state="hidden" r:id="rId24"/>
    <sheet name="Landing Gear" sheetId="13" state="hidden" r:id="rId25"/>
    <sheet name="Landing Gear 2" sheetId="17" state="hidden" r:id="rId26"/>
    <sheet name="Tail" sheetId="12" state="hidden" r:id="rId27"/>
    <sheet name="Sheet2" sheetId="2" state="hidden"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31" l="1"/>
  <c r="E26" i="19"/>
  <c r="G17" i="19"/>
  <c r="B35" i="19"/>
  <c r="B34" i="19"/>
  <c r="C28" i="19"/>
  <c r="H57" i="23"/>
  <c r="M3" i="29"/>
  <c r="M4" i="29"/>
  <c r="M4" i="33"/>
  <c r="M3" i="33"/>
  <c r="P9" i="33"/>
  <c r="C28" i="33"/>
  <c r="E88" i="33"/>
  <c r="E87" i="33"/>
  <c r="E86" i="33"/>
  <c r="E85" i="33"/>
  <c r="D83" i="33"/>
  <c r="E82" i="33"/>
  <c r="E81" i="33"/>
  <c r="E90" i="33" s="1"/>
  <c r="C29" i="33" s="1"/>
  <c r="D80" i="33"/>
  <c r="D79" i="33"/>
  <c r="E78" i="33"/>
  <c r="E77" i="33"/>
  <c r="E76" i="33"/>
  <c r="C59" i="33"/>
  <c r="C47" i="33"/>
  <c r="C48" i="33" s="1"/>
  <c r="C49" i="33" s="1"/>
  <c r="C43" i="33"/>
  <c r="C42" i="33"/>
  <c r="C41" i="33"/>
  <c r="C45" i="33" s="1"/>
  <c r="C40" i="33"/>
  <c r="C37" i="33"/>
  <c r="C34" i="33"/>
  <c r="C30" i="33"/>
  <c r="C31" i="33" s="1"/>
  <c r="C25" i="33"/>
  <c r="C22" i="33"/>
  <c r="C21" i="33"/>
  <c r="C39" i="33" s="1"/>
  <c r="C12" i="33"/>
  <c r="C7" i="33"/>
  <c r="P6" i="33"/>
  <c r="M3" i="32"/>
  <c r="M2" i="32"/>
  <c r="C59" i="29"/>
  <c r="E73" i="32"/>
  <c r="E71" i="32"/>
  <c r="E70" i="32"/>
  <c r="E69" i="32"/>
  <c r="E68" i="32"/>
  <c r="D66" i="32"/>
  <c r="E65" i="32"/>
  <c r="E64" i="32"/>
  <c r="D63" i="32"/>
  <c r="D62" i="32"/>
  <c r="E61" i="32"/>
  <c r="E60" i="32"/>
  <c r="E59" i="32"/>
  <c r="C47" i="32"/>
  <c r="C48" i="32" s="1"/>
  <c r="C49" i="32" s="1"/>
  <c r="C43" i="32"/>
  <c r="C42" i="32"/>
  <c r="C41" i="32"/>
  <c r="C45" i="32" s="1"/>
  <c r="C40" i="32"/>
  <c r="C37" i="32"/>
  <c r="C34" i="32"/>
  <c r="C30" i="32"/>
  <c r="C31" i="32" s="1"/>
  <c r="C29" i="32"/>
  <c r="C25" i="32"/>
  <c r="C22" i="32"/>
  <c r="C21" i="32"/>
  <c r="C12" i="32"/>
  <c r="V11" i="32"/>
  <c r="V10" i="32"/>
  <c r="V9" i="32"/>
  <c r="V8" i="32"/>
  <c r="V7" i="32"/>
  <c r="C7" i="32"/>
  <c r="V6" i="32"/>
  <c r="P6" i="32"/>
  <c r="V5" i="32"/>
  <c r="V4" i="32"/>
  <c r="E88" i="29"/>
  <c r="P6" i="29"/>
  <c r="C12" i="29"/>
  <c r="C34" i="29"/>
  <c r="C47" i="29"/>
  <c r="C48" i="29" s="1"/>
  <c r="C49" i="29" s="1"/>
  <c r="D41" i="20"/>
  <c r="D42" i="20"/>
  <c r="E42" i="20" s="1"/>
  <c r="J31" i="23"/>
  <c r="J7" i="23"/>
  <c r="I7" i="23"/>
  <c r="H7" i="23"/>
  <c r="K8" i="23"/>
  <c r="E90" i="29"/>
  <c r="E82" i="29"/>
  <c r="B62" i="31"/>
  <c r="K61" i="31"/>
  <c r="K63" i="31"/>
  <c r="K67" i="31"/>
  <c r="D39" i="20"/>
  <c r="H60" i="31"/>
  <c r="K60" i="31" s="1"/>
  <c r="H62" i="31"/>
  <c r="K62" i="31" s="1"/>
  <c r="H64" i="31"/>
  <c r="B27" i="19"/>
  <c r="P46" i="31"/>
  <c r="P47" i="31"/>
  <c r="B63" i="31"/>
  <c r="S7" i="23"/>
  <c r="C4" i="23"/>
  <c r="C4" i="24" s="1"/>
  <c r="I20" i="19"/>
  <c r="H5" i="23"/>
  <c r="S6" i="23" s="1"/>
  <c r="H6" i="23"/>
  <c r="S5" i="23" s="1"/>
  <c r="E86" i="29"/>
  <c r="E87" i="29"/>
  <c r="C42" i="29" s="1"/>
  <c r="E81" i="29"/>
  <c r="C29" i="29" s="1"/>
  <c r="E85" i="29"/>
  <c r="E77" i="29"/>
  <c r="E78" i="29"/>
  <c r="C22" i="29" s="1"/>
  <c r="E76" i="29"/>
  <c r="C25" i="29" s="1"/>
  <c r="D80" i="29"/>
  <c r="C40" i="29" s="1"/>
  <c r="D83" i="29"/>
  <c r="D79" i="29"/>
  <c r="C30" i="29"/>
  <c r="H65" i="31"/>
  <c r="K65" i="31" s="1"/>
  <c r="H73" i="31"/>
  <c r="H70" i="31"/>
  <c r="G74" i="31"/>
  <c r="G71" i="31"/>
  <c r="C16" i="31"/>
  <c r="C15" i="31"/>
  <c r="C14" i="31"/>
  <c r="C12" i="31"/>
  <c r="C11" i="31"/>
  <c r="F13" i="31"/>
  <c r="B58" i="19"/>
  <c r="B56" i="19"/>
  <c r="C56" i="19" s="1"/>
  <c r="B66" i="31" s="1"/>
  <c r="C49" i="19"/>
  <c r="B59" i="31" s="1"/>
  <c r="C50" i="19"/>
  <c r="B60" i="31" s="1"/>
  <c r="C51" i="19"/>
  <c r="B61" i="31" s="1"/>
  <c r="C52" i="19"/>
  <c r="C53" i="19"/>
  <c r="C54" i="19"/>
  <c r="B64" i="31" s="1"/>
  <c r="C55" i="19"/>
  <c r="B65" i="31" s="1"/>
  <c r="C48" i="19"/>
  <c r="D16" i="31"/>
  <c r="F4" i="31"/>
  <c r="F5" i="31"/>
  <c r="E6" i="31"/>
  <c r="F6" i="31"/>
  <c r="C6" i="16"/>
  <c r="B12" i="9"/>
  <c r="E10" i="26"/>
  <c r="F10" i="26"/>
  <c r="D10" i="26"/>
  <c r="I4" i="26" s="1"/>
  <c r="G7" i="26"/>
  <c r="D43" i="20"/>
  <c r="D44" i="20"/>
  <c r="D64" i="20"/>
  <c r="D67" i="20" s="1"/>
  <c r="D63" i="20"/>
  <c r="D66" i="20" s="1"/>
  <c r="C3" i="23"/>
  <c r="B26" i="19"/>
  <c r="B11" i="19"/>
  <c r="C3" i="24"/>
  <c r="C7" i="23"/>
  <c r="C7" i="24" s="1"/>
  <c r="C9" i="24"/>
  <c r="D58" i="20"/>
  <c r="D59" i="20"/>
  <c r="D14" i="20"/>
  <c r="E14" i="20" s="1"/>
  <c r="D55" i="20"/>
  <c r="D54" i="20"/>
  <c r="D11" i="20"/>
  <c r="D20" i="20"/>
  <c r="D10" i="20" s="1"/>
  <c r="E10" i="20" s="1"/>
  <c r="C9" i="23"/>
  <c r="C2" i="23"/>
  <c r="G4" i="23"/>
  <c r="J4" i="23" s="1"/>
  <c r="B7" i="11"/>
  <c r="B24" i="9"/>
  <c r="C14" i="19"/>
  <c r="B22" i="1"/>
  <c r="B18" i="9"/>
  <c r="B5" i="9" s="1"/>
  <c r="E13" i="19"/>
  <c r="D24" i="20"/>
  <c r="E9" i="20"/>
  <c r="E17" i="19"/>
  <c r="C15" i="19"/>
  <c r="D12" i="19"/>
  <c r="G13" i="19"/>
  <c r="D14" i="19"/>
  <c r="D15" i="19"/>
  <c r="D16" i="19"/>
  <c r="B14" i="19"/>
  <c r="B12" i="19"/>
  <c r="E10" i="19"/>
  <c r="G10" i="19" s="1"/>
  <c r="D11" i="19"/>
  <c r="F6" i="19"/>
  <c r="F4" i="19"/>
  <c r="B19" i="11"/>
  <c r="E6" i="19"/>
  <c r="D5" i="17"/>
  <c r="M64" i="31" l="1"/>
  <c r="C2" i="24"/>
  <c r="I64" i="31"/>
  <c r="K64" i="31"/>
  <c r="C30" i="31"/>
  <c r="M68" i="31" s="1"/>
  <c r="H52" i="24"/>
  <c r="S52" i="24" s="1"/>
  <c r="C23" i="33"/>
  <c r="C26" i="33"/>
  <c r="C44" i="33" s="1"/>
  <c r="C62" i="33"/>
  <c r="C39" i="32"/>
  <c r="C23" i="32"/>
  <c r="C26" i="32"/>
  <c r="C44" i="32" s="1"/>
  <c r="C21" i="29"/>
  <c r="C43" i="29"/>
  <c r="C31" i="29" s="1"/>
  <c r="C7" i="29" s="1"/>
  <c r="P49" i="31"/>
  <c r="P48" i="31"/>
  <c r="P44" i="31"/>
  <c r="B6" i="25"/>
  <c r="C5" i="23"/>
  <c r="C41" i="29"/>
  <c r="C45" i="29" s="1"/>
  <c r="C37" i="29"/>
  <c r="C39" i="29"/>
  <c r="C23" i="29"/>
  <c r="B27" i="31"/>
  <c r="G62" i="31"/>
  <c r="G63" i="31"/>
  <c r="G61" i="31"/>
  <c r="G60" i="31"/>
  <c r="M60" i="31" s="1"/>
  <c r="C58" i="19"/>
  <c r="B58" i="31"/>
  <c r="C21" i="31"/>
  <c r="B28" i="19"/>
  <c r="H4" i="23"/>
  <c r="I4" i="23" s="1"/>
  <c r="S8" i="23"/>
  <c r="D68" i="20"/>
  <c r="D51" i="20"/>
  <c r="D49" i="20" s="1"/>
  <c r="E39" i="20"/>
  <c r="E41" i="20"/>
  <c r="G6" i="24"/>
  <c r="E43" i="20"/>
  <c r="G7" i="24"/>
  <c r="E44" i="20"/>
  <c r="C5" i="24"/>
  <c r="F6" i="25"/>
  <c r="G50" i="24"/>
  <c r="G51" i="24"/>
  <c r="G16" i="23"/>
  <c r="G30" i="23"/>
  <c r="G31" i="23"/>
  <c r="G7" i="23"/>
  <c r="G49" i="24"/>
  <c r="R51" i="24"/>
  <c r="G48" i="24"/>
  <c r="R50" i="24"/>
  <c r="G47" i="24"/>
  <c r="R49" i="24"/>
  <c r="G46" i="24"/>
  <c r="R48" i="24"/>
  <c r="G45" i="24"/>
  <c r="R47" i="24"/>
  <c r="G44" i="24"/>
  <c r="R46" i="24"/>
  <c r="G43" i="24"/>
  <c r="R45" i="24"/>
  <c r="G42" i="24"/>
  <c r="R44" i="24"/>
  <c r="G41" i="24"/>
  <c r="R43" i="24"/>
  <c r="G40" i="24"/>
  <c r="R42" i="24"/>
  <c r="G39" i="24"/>
  <c r="R41" i="24"/>
  <c r="G38" i="24"/>
  <c r="R40" i="24"/>
  <c r="G37" i="24"/>
  <c r="R39" i="24"/>
  <c r="G36" i="24"/>
  <c r="R38" i="24"/>
  <c r="G35" i="24"/>
  <c r="R33" i="24"/>
  <c r="G30" i="24"/>
  <c r="R32" i="24"/>
  <c r="R31" i="24"/>
  <c r="R30" i="24"/>
  <c r="G29" i="24"/>
  <c r="G28" i="24"/>
  <c r="G27" i="24"/>
  <c r="R29" i="24"/>
  <c r="G26" i="24"/>
  <c r="R28" i="24"/>
  <c r="G25" i="24"/>
  <c r="R27" i="24"/>
  <c r="G24" i="24"/>
  <c r="R26" i="24"/>
  <c r="G23" i="24"/>
  <c r="R25" i="24"/>
  <c r="G22" i="24"/>
  <c r="R24" i="24"/>
  <c r="G21" i="24"/>
  <c r="R23" i="24"/>
  <c r="G20" i="24"/>
  <c r="R22" i="24"/>
  <c r="G19" i="24"/>
  <c r="R21" i="24"/>
  <c r="G18" i="24"/>
  <c r="R20" i="24"/>
  <c r="G17" i="24"/>
  <c r="R19" i="24"/>
  <c r="G16" i="24"/>
  <c r="R18" i="24"/>
  <c r="G15" i="24"/>
  <c r="R17" i="24"/>
  <c r="G14" i="24"/>
  <c r="R16" i="24"/>
  <c r="G13" i="24"/>
  <c r="R15" i="24"/>
  <c r="G12" i="24"/>
  <c r="R14" i="24"/>
  <c r="G11" i="24"/>
  <c r="R13" i="24"/>
  <c r="G10" i="24"/>
  <c r="R12" i="24"/>
  <c r="R37" i="24"/>
  <c r="R11" i="24"/>
  <c r="G8" i="24"/>
  <c r="G34" i="24"/>
  <c r="R10" i="24"/>
  <c r="R36" i="24"/>
  <c r="R9" i="24"/>
  <c r="R8" i="24"/>
  <c r="G9" i="24"/>
  <c r="G33" i="24"/>
  <c r="R35" i="24"/>
  <c r="G32" i="24"/>
  <c r="R34" i="24"/>
  <c r="G31" i="24"/>
  <c r="D56" i="20"/>
  <c r="D27" i="20"/>
  <c r="D12" i="20" s="1"/>
  <c r="E12" i="20" s="1"/>
  <c r="D26" i="20"/>
  <c r="D13" i="20" s="1"/>
  <c r="E13" i="20" s="1"/>
  <c r="E11" i="20"/>
  <c r="G57" i="23"/>
  <c r="G6" i="23"/>
  <c r="I6" i="23" s="1"/>
  <c r="R32" i="23"/>
  <c r="R33" i="23"/>
  <c r="R34" i="23"/>
  <c r="R35" i="23"/>
  <c r="R36" i="23"/>
  <c r="R37" i="23"/>
  <c r="R38" i="23"/>
  <c r="R39" i="23"/>
  <c r="R40" i="23"/>
  <c r="R41" i="23"/>
  <c r="R42" i="23"/>
  <c r="R43" i="23"/>
  <c r="R44" i="23"/>
  <c r="R46" i="23"/>
  <c r="R47" i="23"/>
  <c r="R48" i="23"/>
  <c r="R49" i="23"/>
  <c r="R50" i="23"/>
  <c r="R51" i="23"/>
  <c r="R52" i="23"/>
  <c r="R53" i="23"/>
  <c r="R54" i="23"/>
  <c r="R56" i="23"/>
  <c r="R9" i="23"/>
  <c r="R11" i="23"/>
  <c r="R13" i="23"/>
  <c r="R15" i="23"/>
  <c r="R17" i="23"/>
  <c r="R19" i="23"/>
  <c r="R21" i="23"/>
  <c r="R23" i="23"/>
  <c r="R24" i="23"/>
  <c r="R26" i="23"/>
  <c r="R27" i="23"/>
  <c r="R29" i="23"/>
  <c r="R31" i="23"/>
  <c r="G32" i="23"/>
  <c r="G35" i="23"/>
  <c r="G37" i="23"/>
  <c r="G39" i="23"/>
  <c r="G41" i="23"/>
  <c r="G43" i="23"/>
  <c r="G44" i="23"/>
  <c r="G46" i="23"/>
  <c r="G47" i="23"/>
  <c r="G49" i="23"/>
  <c r="G51" i="23"/>
  <c r="G53" i="23"/>
  <c r="G54" i="23"/>
  <c r="G55" i="23"/>
  <c r="G56" i="23"/>
  <c r="G8" i="23"/>
  <c r="G10" i="23"/>
  <c r="G14" i="23"/>
  <c r="R45" i="23"/>
  <c r="R55" i="23"/>
  <c r="R8" i="23"/>
  <c r="R10" i="23"/>
  <c r="R12" i="23"/>
  <c r="R14" i="23"/>
  <c r="R16" i="23"/>
  <c r="R18" i="23"/>
  <c r="R20" i="23"/>
  <c r="R22" i="23"/>
  <c r="R25" i="23"/>
  <c r="R28" i="23"/>
  <c r="R30" i="23"/>
  <c r="R7" i="23"/>
  <c r="G33" i="23"/>
  <c r="G34" i="23"/>
  <c r="G36" i="23"/>
  <c r="G38" i="23"/>
  <c r="G40" i="23"/>
  <c r="G42" i="23"/>
  <c r="G45" i="23"/>
  <c r="G48" i="23"/>
  <c r="G50" i="23"/>
  <c r="G52" i="23"/>
  <c r="G9" i="23"/>
  <c r="G11" i="23"/>
  <c r="G12" i="23"/>
  <c r="G13" i="23"/>
  <c r="G15" i="23"/>
  <c r="G17" i="23"/>
  <c r="G18" i="23"/>
  <c r="G19" i="23"/>
  <c r="G20" i="23"/>
  <c r="G21" i="23"/>
  <c r="G22" i="23"/>
  <c r="G23" i="23"/>
  <c r="G24" i="23"/>
  <c r="G25" i="23"/>
  <c r="G26" i="23"/>
  <c r="G27" i="23"/>
  <c r="G28" i="23"/>
  <c r="G29" i="23"/>
  <c r="R4" i="23"/>
  <c r="U4" i="23" s="1"/>
  <c r="F17" i="19"/>
  <c r="B17" i="19"/>
  <c r="C17" i="19" s="1"/>
  <c r="D17" i="19" s="1"/>
  <c r="B31" i="19"/>
  <c r="D11" i="17"/>
  <c r="D10" i="17"/>
  <c r="E16" i="15"/>
  <c r="B16" i="15"/>
  <c r="G10" i="15"/>
  <c r="F16" i="15" s="1"/>
  <c r="D12" i="15"/>
  <c r="D13" i="15"/>
  <c r="D14" i="15"/>
  <c r="D15" i="15"/>
  <c r="D11" i="15"/>
  <c r="C13" i="15"/>
  <c r="E47" i="7"/>
  <c r="E46" i="7"/>
  <c r="E45" i="7"/>
  <c r="E44" i="7"/>
  <c r="E60" i="7"/>
  <c r="I61" i="31" l="1"/>
  <c r="M61" i="31"/>
  <c r="I63" i="31"/>
  <c r="M63" i="31"/>
  <c r="H6" i="24"/>
  <c r="M62" i="31"/>
  <c r="C53" i="33"/>
  <c r="C50" i="33"/>
  <c r="C38" i="33"/>
  <c r="C50" i="29"/>
  <c r="C38" i="29"/>
  <c r="C50" i="32"/>
  <c r="C38" i="32"/>
  <c r="C5" i="29"/>
  <c r="G65" i="31"/>
  <c r="I65" i="31" s="1"/>
  <c r="T8" i="23"/>
  <c r="U5" i="23"/>
  <c r="R57" i="23"/>
  <c r="I57" i="23"/>
  <c r="I60" i="31"/>
  <c r="H7" i="24"/>
  <c r="I7" i="24" s="1"/>
  <c r="I62" i="31"/>
  <c r="H66" i="31"/>
  <c r="K66" i="31" s="1"/>
  <c r="C26" i="29"/>
  <c r="C62" i="29" s="1"/>
  <c r="B68" i="31"/>
  <c r="D38" i="20" s="1"/>
  <c r="E38" i="20" s="1"/>
  <c r="H8" i="24"/>
  <c r="H9" i="24" s="1"/>
  <c r="H32" i="23"/>
  <c r="I32" i="23" s="1"/>
  <c r="H8" i="23"/>
  <c r="S32" i="23"/>
  <c r="S8" i="24"/>
  <c r="T7" i="23"/>
  <c r="R6" i="24"/>
  <c r="T6" i="24" s="1"/>
  <c r="E47" i="20"/>
  <c r="I6" i="24"/>
  <c r="R7" i="24"/>
  <c r="T7" i="24" s="1"/>
  <c r="D60" i="20"/>
  <c r="D28" i="20"/>
  <c r="G5" i="23"/>
  <c r="R5" i="23"/>
  <c r="T5" i="23" s="1"/>
  <c r="S9" i="23"/>
  <c r="T9" i="23" s="1"/>
  <c r="C16" i="15"/>
  <c r="C66" i="29" l="1"/>
  <c r="C63" i="29" s="1"/>
  <c r="C5" i="33"/>
  <c r="C8" i="33"/>
  <c r="P8" i="33"/>
  <c r="P7" i="33"/>
  <c r="C55" i="33" s="1"/>
  <c r="C44" i="29"/>
  <c r="C53" i="29"/>
  <c r="P8" i="29"/>
  <c r="P7" i="29"/>
  <c r="C55" i="29" s="1"/>
  <c r="C5" i="32"/>
  <c r="C8" i="32"/>
  <c r="P8" i="32"/>
  <c r="P7" i="32"/>
  <c r="C4" i="29"/>
  <c r="C8" i="29"/>
  <c r="M8" i="29" s="1"/>
  <c r="C27" i="31"/>
  <c r="D27" i="31" s="1"/>
  <c r="D40" i="20"/>
  <c r="D45" i="20" s="1"/>
  <c r="E45" i="20" s="1"/>
  <c r="I5" i="23"/>
  <c r="J5" i="23"/>
  <c r="J6" i="23" s="1"/>
  <c r="J8" i="23" s="1"/>
  <c r="J9" i="23" s="1"/>
  <c r="J10" i="23" s="1"/>
  <c r="J11" i="23" s="1"/>
  <c r="J12" i="23" s="1"/>
  <c r="J13" i="23" s="1"/>
  <c r="J14" i="23" s="1"/>
  <c r="J15" i="23" s="1"/>
  <c r="J16" i="23" s="1"/>
  <c r="J17" i="23" s="1"/>
  <c r="J18" i="23" s="1"/>
  <c r="J19" i="23" s="1"/>
  <c r="J20" i="23" s="1"/>
  <c r="J21" i="23" s="1"/>
  <c r="J22" i="23" s="1"/>
  <c r="J23" i="23" s="1"/>
  <c r="J24" i="23" s="1"/>
  <c r="J25" i="23" s="1"/>
  <c r="J26" i="23" s="1"/>
  <c r="J27" i="23" s="1"/>
  <c r="J28" i="23" s="1"/>
  <c r="J29" i="23" s="1"/>
  <c r="J30" i="23" s="1"/>
  <c r="J32" i="23" s="1"/>
  <c r="J33" i="23" s="1"/>
  <c r="J34" i="23" s="1"/>
  <c r="J35" i="23" s="1"/>
  <c r="J36" i="23" s="1"/>
  <c r="J37" i="23" s="1"/>
  <c r="J38" i="23" s="1"/>
  <c r="J39" i="23" s="1"/>
  <c r="J40" i="23" s="1"/>
  <c r="J41" i="23" s="1"/>
  <c r="J42" i="23" s="1"/>
  <c r="J43" i="23" s="1"/>
  <c r="J44" i="23" s="1"/>
  <c r="J45" i="23" s="1"/>
  <c r="J46" i="23" s="1"/>
  <c r="J47" i="23" s="1"/>
  <c r="J48" i="23" s="1"/>
  <c r="J49" i="23" s="1"/>
  <c r="J50" i="23" s="1"/>
  <c r="J51" i="23" s="1"/>
  <c r="J52" i="23" s="1"/>
  <c r="J53" i="23" s="1"/>
  <c r="J54" i="23" s="1"/>
  <c r="J55" i="23" s="1"/>
  <c r="J56" i="23" s="1"/>
  <c r="J57" i="23" s="1"/>
  <c r="U6" i="23"/>
  <c r="U7" i="23" s="1"/>
  <c r="U8" i="23" s="1"/>
  <c r="U9" i="23" s="1"/>
  <c r="U10" i="23" s="1"/>
  <c r="U11" i="23" s="1"/>
  <c r="U12" i="23" s="1"/>
  <c r="U13" i="23" s="1"/>
  <c r="U14" i="23" s="1"/>
  <c r="U15" i="23" s="1"/>
  <c r="U16" i="23" s="1"/>
  <c r="U17" i="23" s="1"/>
  <c r="U18" i="23" s="1"/>
  <c r="U19" i="23" s="1"/>
  <c r="U20" i="23" s="1"/>
  <c r="U21" i="23" s="1"/>
  <c r="U22" i="23" s="1"/>
  <c r="U23" i="23" s="1"/>
  <c r="U24" i="23" s="1"/>
  <c r="U25" i="23" s="1"/>
  <c r="U26" i="23" s="1"/>
  <c r="U27" i="23" s="1"/>
  <c r="U28" i="23" s="1"/>
  <c r="U29" i="23" s="1"/>
  <c r="U30" i="23" s="1"/>
  <c r="U31" i="23" s="1"/>
  <c r="U32" i="23" s="1"/>
  <c r="U33" i="23" s="1"/>
  <c r="U34" i="23" s="1"/>
  <c r="U35" i="23" s="1"/>
  <c r="U36" i="23" s="1"/>
  <c r="U37" i="23" s="1"/>
  <c r="U38" i="23" s="1"/>
  <c r="U39" i="23" s="1"/>
  <c r="U40" i="23" s="1"/>
  <c r="U41" i="23" s="1"/>
  <c r="U42" i="23" s="1"/>
  <c r="U43" i="23" s="1"/>
  <c r="U44" i="23" s="1"/>
  <c r="U45" i="23" s="1"/>
  <c r="U46" i="23" s="1"/>
  <c r="U47" i="23" s="1"/>
  <c r="U48" i="23" s="1"/>
  <c r="U49" i="23" s="1"/>
  <c r="U50" i="23" s="1"/>
  <c r="U51" i="23" s="1"/>
  <c r="U52" i="23" s="1"/>
  <c r="U53" i="23" s="1"/>
  <c r="U54" i="23" s="1"/>
  <c r="U55" i="23" s="1"/>
  <c r="U56" i="23" s="1"/>
  <c r="U57" i="23" s="1"/>
  <c r="B26" i="31"/>
  <c r="P43" i="31" s="1"/>
  <c r="G4" i="24"/>
  <c r="G5" i="24" s="1"/>
  <c r="B28" i="31"/>
  <c r="B29" i="31" s="1"/>
  <c r="G66" i="31"/>
  <c r="I8" i="24"/>
  <c r="C58" i="31"/>
  <c r="E10" i="31" s="1"/>
  <c r="C62" i="31"/>
  <c r="E13" i="31" s="1"/>
  <c r="G13" i="31" s="1"/>
  <c r="C63" i="31"/>
  <c r="B15" i="31" s="1"/>
  <c r="D15" i="31" s="1"/>
  <c r="C65" i="31"/>
  <c r="C64" i="31"/>
  <c r="B14" i="31" s="1"/>
  <c r="D14" i="31" s="1"/>
  <c r="C61" i="31"/>
  <c r="B12" i="31" s="1"/>
  <c r="D12" i="31" s="1"/>
  <c r="C60" i="31"/>
  <c r="C59" i="31"/>
  <c r="C66" i="31"/>
  <c r="H33" i="23"/>
  <c r="I33" i="23" s="1"/>
  <c r="I8" i="23"/>
  <c r="H9" i="23"/>
  <c r="S33" i="23"/>
  <c r="T32" i="23"/>
  <c r="T8" i="24"/>
  <c r="S30" i="24"/>
  <c r="S9" i="24"/>
  <c r="R4" i="24"/>
  <c r="I9" i="24"/>
  <c r="H10" i="24"/>
  <c r="I10" i="24" s="1"/>
  <c r="R6" i="23"/>
  <c r="T6" i="23" s="1"/>
  <c r="S10" i="23"/>
  <c r="T10" i="23" s="1"/>
  <c r="B26" i="11"/>
  <c r="B25" i="11"/>
  <c r="B28" i="11" s="1"/>
  <c r="M9" i="4"/>
  <c r="M10" i="4"/>
  <c r="M11" i="4"/>
  <c r="M12" i="4"/>
  <c r="M8" i="4"/>
  <c r="D22" i="18"/>
  <c r="D19" i="18"/>
  <c r="AP96" i="3"/>
  <c r="C66" i="33" l="1"/>
  <c r="C63" i="33" s="1"/>
  <c r="C64" i="33" s="1"/>
  <c r="P5" i="33" s="1"/>
  <c r="C4" i="33"/>
  <c r="M9" i="33" s="1"/>
  <c r="M8" i="33"/>
  <c r="C64" i="29"/>
  <c r="P5" i="29" s="1"/>
  <c r="M9" i="29"/>
  <c r="C4" i="32"/>
  <c r="M7" i="32"/>
  <c r="E40" i="20"/>
  <c r="G52" i="24"/>
  <c r="D29" i="31"/>
  <c r="B30" i="31"/>
  <c r="J4" i="24"/>
  <c r="R5" i="24"/>
  <c r="U5" i="24" s="1"/>
  <c r="U6" i="24" s="1"/>
  <c r="U7" i="24" s="1"/>
  <c r="U8" i="24" s="1"/>
  <c r="U9" i="24" s="1"/>
  <c r="U10" i="24" s="1"/>
  <c r="U11" i="24" s="1"/>
  <c r="U12" i="24" s="1"/>
  <c r="U13" i="24" s="1"/>
  <c r="U14" i="24" s="1"/>
  <c r="U15" i="24" s="1"/>
  <c r="U16" i="24" s="1"/>
  <c r="U17" i="24" s="1"/>
  <c r="U18" i="24" s="1"/>
  <c r="U19" i="24" s="1"/>
  <c r="U20" i="24" s="1"/>
  <c r="U21" i="24" s="1"/>
  <c r="U22" i="24" s="1"/>
  <c r="U23" i="24" s="1"/>
  <c r="U24" i="24" s="1"/>
  <c r="U25" i="24" s="1"/>
  <c r="U26" i="24" s="1"/>
  <c r="U27" i="24" s="1"/>
  <c r="U28" i="24" s="1"/>
  <c r="U29" i="24" s="1"/>
  <c r="U30" i="24" s="1"/>
  <c r="U31" i="24" s="1"/>
  <c r="U32" i="24" s="1"/>
  <c r="U33" i="24" s="1"/>
  <c r="U34" i="24" s="1"/>
  <c r="U35" i="24" s="1"/>
  <c r="U36" i="24" s="1"/>
  <c r="U37" i="24" s="1"/>
  <c r="U38" i="24" s="1"/>
  <c r="U39" i="24" s="1"/>
  <c r="U40" i="24" s="1"/>
  <c r="U41" i="24" s="1"/>
  <c r="U42" i="24" s="1"/>
  <c r="U43" i="24" s="1"/>
  <c r="U44" i="24" s="1"/>
  <c r="U45" i="24" s="1"/>
  <c r="U46" i="24" s="1"/>
  <c r="U47" i="24" s="1"/>
  <c r="U48" i="24" s="1"/>
  <c r="U49" i="24" s="1"/>
  <c r="U50" i="24" s="1"/>
  <c r="U51" i="24" s="1"/>
  <c r="J5" i="24"/>
  <c r="J6" i="24" s="1"/>
  <c r="J7" i="24" s="1"/>
  <c r="J8" i="24" s="1"/>
  <c r="J9" i="24" s="1"/>
  <c r="J10" i="24" s="1"/>
  <c r="J11" i="24" s="1"/>
  <c r="J12" i="24" s="1"/>
  <c r="J13" i="24" s="1"/>
  <c r="J14" i="24" s="1"/>
  <c r="J15" i="24" s="1"/>
  <c r="J16" i="24" s="1"/>
  <c r="J17" i="24" s="1"/>
  <c r="J18" i="24" s="1"/>
  <c r="J19" i="24" s="1"/>
  <c r="J20" i="24" s="1"/>
  <c r="J21" i="24" s="1"/>
  <c r="J22" i="24" s="1"/>
  <c r="J23" i="24" s="1"/>
  <c r="J24" i="24" s="1"/>
  <c r="J25" i="24" s="1"/>
  <c r="J26" i="24" s="1"/>
  <c r="J27" i="24" s="1"/>
  <c r="J28" i="24" s="1"/>
  <c r="J29" i="24" s="1"/>
  <c r="J30" i="24" s="1"/>
  <c r="J31" i="24" s="1"/>
  <c r="J32" i="24" s="1"/>
  <c r="J33" i="24" s="1"/>
  <c r="J34" i="24" s="1"/>
  <c r="J35" i="24" s="1"/>
  <c r="J36" i="24" s="1"/>
  <c r="J37" i="24" s="1"/>
  <c r="J38" i="24" s="1"/>
  <c r="J39" i="24" s="1"/>
  <c r="J40" i="24" s="1"/>
  <c r="J41" i="24" s="1"/>
  <c r="J42" i="24" s="1"/>
  <c r="J43" i="24" s="1"/>
  <c r="J44" i="24" s="1"/>
  <c r="J45" i="24" s="1"/>
  <c r="J46" i="24" s="1"/>
  <c r="J47" i="24" s="1"/>
  <c r="J48" i="24" s="1"/>
  <c r="J49" i="24" s="1"/>
  <c r="J50" i="24" s="1"/>
  <c r="J51" i="24" s="1"/>
  <c r="B34" i="31"/>
  <c r="B35" i="31"/>
  <c r="B31" i="31"/>
  <c r="C28" i="31"/>
  <c r="D28" i="31" s="1"/>
  <c r="I66" i="31"/>
  <c r="G67" i="31" s="1"/>
  <c r="E17" i="31"/>
  <c r="G10" i="31"/>
  <c r="B11" i="31"/>
  <c r="C68" i="31"/>
  <c r="H34" i="23"/>
  <c r="I34" i="23" s="1"/>
  <c r="I9" i="23"/>
  <c r="H10" i="23"/>
  <c r="H35" i="23" s="1"/>
  <c r="I35" i="23" s="1"/>
  <c r="S34" i="23"/>
  <c r="T33" i="23"/>
  <c r="T30" i="24"/>
  <c r="S31" i="24"/>
  <c r="T9" i="24"/>
  <c r="S10" i="24"/>
  <c r="U4" i="24"/>
  <c r="S11" i="23"/>
  <c r="T11" i="23" s="1"/>
  <c r="D18" i="18"/>
  <c r="D4" i="18"/>
  <c r="A4" i="18"/>
  <c r="A3" i="18"/>
  <c r="D2" i="18"/>
  <c r="A2" i="18"/>
  <c r="M8" i="32" l="1"/>
  <c r="J52" i="24"/>
  <c r="R52" i="24"/>
  <c r="T52" i="24" s="1"/>
  <c r="I52" i="24"/>
  <c r="B36" i="31"/>
  <c r="B37" i="31"/>
  <c r="B32" i="31"/>
  <c r="B39" i="31"/>
  <c r="P45" i="31"/>
  <c r="D30" i="31"/>
  <c r="B33" i="31"/>
  <c r="H11" i="23"/>
  <c r="I10" i="23"/>
  <c r="D11" i="31"/>
  <c r="B17" i="31"/>
  <c r="F17" i="31"/>
  <c r="U52" i="24"/>
  <c r="S35" i="23"/>
  <c r="T34" i="23"/>
  <c r="T31" i="24"/>
  <c r="S32" i="24"/>
  <c r="T10" i="24"/>
  <c r="S11" i="24"/>
  <c r="H36" i="23"/>
  <c r="I36" i="23" s="1"/>
  <c r="I11" i="23"/>
  <c r="S12" i="23"/>
  <c r="T12" i="23" s="1"/>
  <c r="H12" i="23"/>
  <c r="E20" i="7"/>
  <c r="E12" i="7"/>
  <c r="E22" i="7" s="1"/>
  <c r="E10" i="7"/>
  <c r="E21" i="7" s="1"/>
  <c r="E8" i="7"/>
  <c r="B3" i="11"/>
  <c r="P12" i="4"/>
  <c r="P11" i="4"/>
  <c r="P10" i="4"/>
  <c r="P9" i="4"/>
  <c r="P8" i="4"/>
  <c r="O12" i="4"/>
  <c r="O11" i="4"/>
  <c r="O10" i="4"/>
  <c r="O9" i="4"/>
  <c r="O8" i="4"/>
  <c r="N8" i="4"/>
  <c r="D82" i="3"/>
  <c r="D81" i="3"/>
  <c r="AQ81" i="3"/>
  <c r="AT81" i="3"/>
  <c r="AS81" i="3"/>
  <c r="D83" i="3"/>
  <c r="AJ96" i="3"/>
  <c r="AL96" i="3"/>
  <c r="AN96" i="3" s="1"/>
  <c r="AI95" i="3"/>
  <c r="AK96" i="3"/>
  <c r="AM96" i="3" s="1"/>
  <c r="C181" i="3"/>
  <c r="C182" i="3"/>
  <c r="C183" i="3"/>
  <c r="D183" i="3"/>
  <c r="C184" i="3"/>
  <c r="C185" i="3"/>
  <c r="D185" i="3"/>
  <c r="C186" i="3"/>
  <c r="D186" i="3"/>
  <c r="C187" i="3"/>
  <c r="D187" i="3"/>
  <c r="C188" i="3"/>
  <c r="C189" i="3"/>
  <c r="C190" i="3"/>
  <c r="D103" i="3"/>
  <c r="D109" i="3"/>
  <c r="D110" i="3"/>
  <c r="D111" i="3"/>
  <c r="D112" i="3"/>
  <c r="D113" i="3"/>
  <c r="C8" i="16"/>
  <c r="F8" i="16"/>
  <c r="C11" i="16"/>
  <c r="AJ83" i="3"/>
  <c r="AK80" i="3"/>
  <c r="AK81" i="3"/>
  <c r="AK82" i="3"/>
  <c r="AK83" i="3"/>
  <c r="AK79" i="3"/>
  <c r="AJ82" i="3"/>
  <c r="AJ81" i="3"/>
  <c r="AJ80" i="3"/>
  <c r="AJ79" i="3"/>
  <c r="E8" i="16"/>
  <c r="D8" i="16"/>
  <c r="BS97" i="3"/>
  <c r="F35" i="5"/>
  <c r="C5" i="16"/>
  <c r="D43" i="3" s="1"/>
  <c r="H68" i="3"/>
  <c r="BM162" i="3" s="1"/>
  <c r="BN162" i="3" s="1"/>
  <c r="BO162" i="3" s="1"/>
  <c r="BP162" i="3" s="1"/>
  <c r="G68" i="3"/>
  <c r="BG100" i="3" s="1"/>
  <c r="BH100" i="3" s="1"/>
  <c r="BI100" i="3" s="1"/>
  <c r="BJ100" i="3" s="1"/>
  <c r="F68" i="3"/>
  <c r="BA100" i="3" s="1"/>
  <c r="BB100" i="3" s="1"/>
  <c r="BC100" i="3" s="1"/>
  <c r="BD100" i="3" s="1"/>
  <c r="E68" i="3"/>
  <c r="BA167" i="3" s="1"/>
  <c r="BB167" i="3" s="1"/>
  <c r="BC167" i="3" s="1"/>
  <c r="BD167" i="3" s="1"/>
  <c r="D68" i="3"/>
  <c r="AO107" i="3" s="1"/>
  <c r="AP107" i="3" s="1"/>
  <c r="AQ107" i="3" s="1"/>
  <c r="AR107" i="3" s="1"/>
  <c r="D54" i="3"/>
  <c r="D52" i="3"/>
  <c r="D50" i="3"/>
  <c r="D49" i="3"/>
  <c r="D41" i="3"/>
  <c r="D39" i="3"/>
  <c r="D33" i="3"/>
  <c r="D30" i="3"/>
  <c r="D181" i="3" s="1"/>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00" i="3"/>
  <c r="B25" i="15"/>
  <c r="N9" i="4"/>
  <c r="N10" i="4"/>
  <c r="N11" i="4"/>
  <c r="N12" i="4"/>
  <c r="C2" i="16"/>
  <c r="D26" i="8"/>
  <c r="D20" i="8"/>
  <c r="D40" i="8" s="1"/>
  <c r="H64" i="3" s="1"/>
  <c r="E42" i="7"/>
  <c r="K12" i="4"/>
  <c r="K11" i="4"/>
  <c r="K10" i="4"/>
  <c r="K9" i="4"/>
  <c r="K8" i="4"/>
  <c r="B20" i="5"/>
  <c r="B14" i="5"/>
  <c r="D18" i="14"/>
  <c r="E6" i="7"/>
  <c r="P7" i="4"/>
  <c r="O7" i="4"/>
  <c r="D124" i="3"/>
  <c r="D144" i="3"/>
  <c r="D164" i="3"/>
  <c r="D125" i="3"/>
  <c r="D145" i="3"/>
  <c r="D165" i="3"/>
  <c r="D128" i="3"/>
  <c r="D132" i="3"/>
  <c r="D152" i="3"/>
  <c r="D172" i="3"/>
  <c r="D134" i="3"/>
  <c r="D115" i="3"/>
  <c r="D135" i="3"/>
  <c r="D155" i="3"/>
  <c r="D175" i="3"/>
  <c r="D118" i="3"/>
  <c r="D138" i="3"/>
  <c r="D117" i="3"/>
  <c r="D137" i="3"/>
  <c r="D157" i="3"/>
  <c r="D177" i="3"/>
  <c r="D158" i="3"/>
  <c r="D179" i="3"/>
  <c r="D140" i="3"/>
  <c r="D121" i="3"/>
  <c r="D142" i="3"/>
  <c r="D123" i="3"/>
  <c r="D122" i="3"/>
  <c r="D162" i="3"/>
  <c r="D163" i="3"/>
  <c r="D126" i="3"/>
  <c r="D166" i="3"/>
  <c r="D133" i="3"/>
  <c r="D173" i="3"/>
  <c r="E89" i="3"/>
  <c r="A94" i="3"/>
  <c r="D80" i="3"/>
  <c r="D74" i="3"/>
  <c r="D73" i="3"/>
  <c r="F39" i="5"/>
  <c r="H61" i="3" s="1"/>
  <c r="F32" i="5"/>
  <c r="G61" i="3"/>
  <c r="F25" i="5"/>
  <c r="F61" i="3"/>
  <c r="E94" i="3"/>
  <c r="K99" i="3"/>
  <c r="J99" i="3"/>
  <c r="I99" i="3"/>
  <c r="H99" i="3"/>
  <c r="H62" i="3"/>
  <c r="G62" i="3"/>
  <c r="F62" i="3"/>
  <c r="E62" i="3"/>
  <c r="D62" i="3"/>
  <c r="F18" i="5"/>
  <c r="E61" i="3" s="1"/>
  <c r="F10" i="5"/>
  <c r="D61" i="3" s="1"/>
  <c r="E6" i="15"/>
  <c r="B24" i="1"/>
  <c r="E5" i="7"/>
  <c r="B23" i="9"/>
  <c r="B22" i="9"/>
  <c r="B21" i="9"/>
  <c r="B11" i="6"/>
  <c r="I73" i="7"/>
  <c r="F3" i="15"/>
  <c r="D4" i="14"/>
  <c r="D2" i="14"/>
  <c r="F4" i="15"/>
  <c r="A4" i="14"/>
  <c r="A3" i="14"/>
  <c r="A2" i="14"/>
  <c r="B11" i="11"/>
  <c r="B2" i="11"/>
  <c r="B27" i="11" s="1"/>
  <c r="A89" i="3"/>
  <c r="E99" i="3"/>
  <c r="F99" i="3"/>
  <c r="G99" i="3"/>
  <c r="L99" i="3"/>
  <c r="B5" i="4"/>
  <c r="B4" i="4"/>
  <c r="B2" i="4"/>
  <c r="B3" i="4"/>
  <c r="W12" i="32" l="1"/>
  <c r="X12" i="32" s="1"/>
  <c r="W11" i="32"/>
  <c r="X11" i="32" s="1"/>
  <c r="W10" i="32"/>
  <c r="X10" i="32" s="1"/>
  <c r="W9" i="32"/>
  <c r="X9" i="32" s="1"/>
  <c r="W8" i="32"/>
  <c r="X8" i="32" s="1"/>
  <c r="W7" i="32"/>
  <c r="X7" i="32" s="1"/>
  <c r="W6" i="32"/>
  <c r="X6" i="32" s="1"/>
  <c r="W5" i="32"/>
  <c r="X5" i="32" s="1"/>
  <c r="W4" i="32"/>
  <c r="X4" i="32" s="1"/>
  <c r="W3" i="32"/>
  <c r="X3" i="32" s="1"/>
  <c r="W2" i="32"/>
  <c r="X2" i="32" s="1"/>
  <c r="C17" i="31"/>
  <c r="C26" i="31" s="1"/>
  <c r="E41" i="8"/>
  <c r="F65" i="3" s="1"/>
  <c r="E44" i="8"/>
  <c r="D65" i="3" s="1"/>
  <c r="E42" i="8"/>
  <c r="E43" i="8"/>
  <c r="S36" i="23"/>
  <c r="T35" i="23"/>
  <c r="T32" i="24"/>
  <c r="S33" i="24"/>
  <c r="T11" i="24"/>
  <c r="S12" i="24"/>
  <c r="H37" i="23"/>
  <c r="I37" i="23" s="1"/>
  <c r="I12" i="23"/>
  <c r="S13" i="23"/>
  <c r="T13" i="23" s="1"/>
  <c r="H13" i="23"/>
  <c r="B36" i="11"/>
  <c r="B24" i="11"/>
  <c r="D105" i="3"/>
  <c r="D3" i="14"/>
  <c r="D3" i="18"/>
  <c r="D114" i="3"/>
  <c r="D154" i="3"/>
  <c r="D150" i="3"/>
  <c r="D100" i="3"/>
  <c r="D161" i="3"/>
  <c r="D176" i="3"/>
  <c r="D171" i="3"/>
  <c r="D182" i="3"/>
  <c r="D151" i="3"/>
  <c r="D190" i="3"/>
  <c r="D167" i="3"/>
  <c r="D159" i="3"/>
  <c r="D149" i="3"/>
  <c r="E13" i="7"/>
  <c r="D153" i="3"/>
  <c r="D139" i="3"/>
  <c r="D129" i="3"/>
  <c r="D189" i="3"/>
  <c r="D106" i="3"/>
  <c r="D156" i="3"/>
  <c r="D180" i="3"/>
  <c r="D131" i="3"/>
  <c r="D174" i="3"/>
  <c r="D170" i="3"/>
  <c r="D169" i="3"/>
  <c r="D127" i="3"/>
  <c r="D146" i="3"/>
  <c r="D119" i="3"/>
  <c r="D168" i="3"/>
  <c r="L152" i="3"/>
  <c r="D108" i="3"/>
  <c r="D141" i="3"/>
  <c r="D136" i="3"/>
  <c r="D104" i="3"/>
  <c r="D116" i="3"/>
  <c r="D160" i="3"/>
  <c r="D143" i="3"/>
  <c r="D178" i="3"/>
  <c r="D148" i="3"/>
  <c r="D188" i="3"/>
  <c r="E14" i="7"/>
  <c r="E23" i="7" s="1"/>
  <c r="E24" i="7" s="1"/>
  <c r="L101" i="3"/>
  <c r="E39" i="8"/>
  <c r="E40" i="8"/>
  <c r="D25" i="8"/>
  <c r="C10" i="16"/>
  <c r="D55" i="3"/>
  <c r="BS122" i="3" s="1"/>
  <c r="BT122" i="3" s="1"/>
  <c r="BU122" i="3" s="1"/>
  <c r="BV122" i="3" s="1"/>
  <c r="D39" i="8"/>
  <c r="D41" i="8"/>
  <c r="F64" i="3" s="1"/>
  <c r="D42" i="8"/>
  <c r="E64" i="3" s="1"/>
  <c r="D77" i="3" s="1"/>
  <c r="D44" i="8"/>
  <c r="D64" i="3" s="1"/>
  <c r="G107" i="3" s="1"/>
  <c r="D43" i="8"/>
  <c r="C9" i="16"/>
  <c r="BG132" i="3"/>
  <c r="BH132" i="3" s="1"/>
  <c r="BI132" i="3" s="1"/>
  <c r="BJ132" i="3" s="1"/>
  <c r="BG127" i="3"/>
  <c r="BH127" i="3" s="1"/>
  <c r="BI127" i="3" s="1"/>
  <c r="BJ127" i="3" s="1"/>
  <c r="BA168" i="3"/>
  <c r="BB168" i="3" s="1"/>
  <c r="BC168" i="3" s="1"/>
  <c r="BD168" i="3" s="1"/>
  <c r="BG105" i="3"/>
  <c r="BH105" i="3" s="1"/>
  <c r="BI105" i="3" s="1"/>
  <c r="BJ105" i="3" s="1"/>
  <c r="BG126" i="3"/>
  <c r="BH126" i="3" s="1"/>
  <c r="BI126" i="3" s="1"/>
  <c r="BJ126" i="3" s="1"/>
  <c r="BG165" i="3"/>
  <c r="BH165" i="3" s="1"/>
  <c r="BI165" i="3" s="1"/>
  <c r="BJ165" i="3" s="1"/>
  <c r="BA131" i="3"/>
  <c r="BB131" i="3" s="1"/>
  <c r="BC131" i="3" s="1"/>
  <c r="BD131" i="3" s="1"/>
  <c r="BG134" i="3"/>
  <c r="BH134" i="3" s="1"/>
  <c r="BI134" i="3" s="1"/>
  <c r="BJ134" i="3" s="1"/>
  <c r="AU117" i="3"/>
  <c r="AV117" i="3" s="1"/>
  <c r="AW117" i="3" s="1"/>
  <c r="AX117" i="3" s="1"/>
  <c r="BM122" i="3"/>
  <c r="BN122" i="3" s="1"/>
  <c r="BO122" i="3" s="1"/>
  <c r="BP122" i="3" s="1"/>
  <c r="BM157" i="3"/>
  <c r="BN157" i="3" s="1"/>
  <c r="BO157" i="3" s="1"/>
  <c r="BP157" i="3" s="1"/>
  <c r="BM116" i="3"/>
  <c r="BN116" i="3" s="1"/>
  <c r="BO116" i="3" s="1"/>
  <c r="BP116" i="3" s="1"/>
  <c r="BM154" i="3"/>
  <c r="BN154" i="3" s="1"/>
  <c r="BO154" i="3" s="1"/>
  <c r="BP154" i="3" s="1"/>
  <c r="BM153" i="3"/>
  <c r="BN153" i="3" s="1"/>
  <c r="BO153" i="3" s="1"/>
  <c r="BP153" i="3" s="1"/>
  <c r="BM187" i="3"/>
  <c r="BN187" i="3" s="1"/>
  <c r="BO187" i="3" s="1"/>
  <c r="BP187" i="3" s="1"/>
  <c r="BM188" i="3"/>
  <c r="BN188" i="3" s="1"/>
  <c r="BO188" i="3" s="1"/>
  <c r="BP188" i="3" s="1"/>
  <c r="BM183" i="3"/>
  <c r="BN183" i="3" s="1"/>
  <c r="BO183" i="3" s="1"/>
  <c r="BP183" i="3" s="1"/>
  <c r="BM182" i="3"/>
  <c r="BN182" i="3" s="1"/>
  <c r="BO182" i="3" s="1"/>
  <c r="BP182" i="3" s="1"/>
  <c r="BM124" i="3"/>
  <c r="BN124" i="3" s="1"/>
  <c r="BO124" i="3" s="1"/>
  <c r="BP124" i="3" s="1"/>
  <c r="BM114" i="3"/>
  <c r="BN114" i="3" s="1"/>
  <c r="BO114" i="3" s="1"/>
  <c r="BP114" i="3" s="1"/>
  <c r="BM110" i="3"/>
  <c r="BN110" i="3" s="1"/>
  <c r="BO110" i="3" s="1"/>
  <c r="BP110" i="3" s="1"/>
  <c r="E159" i="3"/>
  <c r="E137" i="3"/>
  <c r="E178" i="3"/>
  <c r="E157" i="3"/>
  <c r="E115" i="3"/>
  <c r="E134" i="3"/>
  <c r="E143" i="3"/>
  <c r="E129" i="3"/>
  <c r="E123" i="3"/>
  <c r="E142" i="3"/>
  <c r="E138" i="3"/>
  <c r="E173" i="3"/>
  <c r="E185" i="3"/>
  <c r="E120" i="3"/>
  <c r="E117" i="3"/>
  <c r="E116" i="3"/>
  <c r="E127" i="3"/>
  <c r="E189" i="3"/>
  <c r="E168" i="3"/>
  <c r="E166" i="3"/>
  <c r="E146" i="3"/>
  <c r="L175" i="3"/>
  <c r="L151" i="3"/>
  <c r="L150" i="3"/>
  <c r="L149" i="3"/>
  <c r="L148" i="3"/>
  <c r="L147" i="3"/>
  <c r="L146" i="3"/>
  <c r="L102" i="3"/>
  <c r="L125" i="3"/>
  <c r="L124" i="3"/>
  <c r="L145" i="3"/>
  <c r="L137" i="3"/>
  <c r="L129" i="3"/>
  <c r="L128" i="3"/>
  <c r="L105" i="3"/>
  <c r="L104" i="3"/>
  <c r="L103" i="3"/>
  <c r="E65" i="3"/>
  <c r="D78" i="3" s="1"/>
  <c r="L178" i="3"/>
  <c r="L172" i="3"/>
  <c r="L187" i="3"/>
  <c r="L181" i="3"/>
  <c r="L155" i="3"/>
  <c r="L113" i="3"/>
  <c r="L133" i="3"/>
  <c r="L153" i="3"/>
  <c r="L173" i="3"/>
  <c r="L114" i="3"/>
  <c r="L134" i="3"/>
  <c r="L154" i="3"/>
  <c r="L174" i="3"/>
  <c r="L119" i="3"/>
  <c r="L139" i="3"/>
  <c r="L159" i="3"/>
  <c r="L179" i="3"/>
  <c r="L120" i="3"/>
  <c r="L140" i="3"/>
  <c r="L160" i="3"/>
  <c r="L180" i="3"/>
  <c r="L106" i="3"/>
  <c r="L130" i="3"/>
  <c r="L156" i="3"/>
  <c r="L182" i="3"/>
  <c r="L107" i="3"/>
  <c r="L131" i="3"/>
  <c r="L157" i="3"/>
  <c r="L183" i="3"/>
  <c r="L108" i="3"/>
  <c r="L132" i="3"/>
  <c r="L158" i="3"/>
  <c r="L184" i="3"/>
  <c r="L109" i="3"/>
  <c r="L135" i="3"/>
  <c r="L161" i="3"/>
  <c r="L185" i="3"/>
  <c r="L110" i="3"/>
  <c r="L136" i="3"/>
  <c r="L162" i="3"/>
  <c r="L186" i="3"/>
  <c r="L112" i="3"/>
  <c r="L138" i="3"/>
  <c r="L164" i="3"/>
  <c r="L188" i="3"/>
  <c r="L118" i="3"/>
  <c r="L168" i="3"/>
  <c r="L115" i="3"/>
  <c r="L141" i="3"/>
  <c r="L165" i="3"/>
  <c r="L189" i="3"/>
  <c r="L116" i="3"/>
  <c r="L142" i="3"/>
  <c r="L166" i="3"/>
  <c r="L190" i="3"/>
  <c r="L117" i="3"/>
  <c r="L143" i="3"/>
  <c r="L167" i="3"/>
  <c r="L144" i="3"/>
  <c r="L177" i="3"/>
  <c r="L127" i="3"/>
  <c r="L176" i="3"/>
  <c r="L126" i="3"/>
  <c r="L123" i="3"/>
  <c r="L170" i="3"/>
  <c r="L122" i="3"/>
  <c r="BM100" i="3"/>
  <c r="BN100" i="3" s="1"/>
  <c r="BO100" i="3" s="1"/>
  <c r="BP100" i="3" s="1"/>
  <c r="BM126" i="3"/>
  <c r="BN126" i="3" s="1"/>
  <c r="BO126" i="3" s="1"/>
  <c r="BP126" i="3" s="1"/>
  <c r="BM179" i="3"/>
  <c r="BN179" i="3" s="1"/>
  <c r="BO179" i="3" s="1"/>
  <c r="BP179" i="3" s="1"/>
  <c r="BM190" i="3"/>
  <c r="BN190" i="3" s="1"/>
  <c r="BO190" i="3" s="1"/>
  <c r="BP190" i="3" s="1"/>
  <c r="BM158" i="3"/>
  <c r="BN158" i="3" s="1"/>
  <c r="BO158" i="3" s="1"/>
  <c r="BP158" i="3" s="1"/>
  <c r="BM166" i="3"/>
  <c r="BN166" i="3" s="1"/>
  <c r="BO166" i="3" s="1"/>
  <c r="BP166" i="3" s="1"/>
  <c r="BM178" i="3"/>
  <c r="BN178" i="3" s="1"/>
  <c r="BO178" i="3" s="1"/>
  <c r="BP178" i="3" s="1"/>
  <c r="BM129" i="3"/>
  <c r="BN129" i="3" s="1"/>
  <c r="BO129" i="3" s="1"/>
  <c r="BP129" i="3" s="1"/>
  <c r="BM119" i="3"/>
  <c r="BN119" i="3" s="1"/>
  <c r="BO119" i="3" s="1"/>
  <c r="BP119" i="3" s="1"/>
  <c r="BM141" i="3"/>
  <c r="BN141" i="3" s="1"/>
  <c r="BO141" i="3" s="1"/>
  <c r="BP141" i="3" s="1"/>
  <c r="BM142" i="3"/>
  <c r="BN142" i="3" s="1"/>
  <c r="BO142" i="3" s="1"/>
  <c r="BP142" i="3" s="1"/>
  <c r="BM181" i="3"/>
  <c r="BN181" i="3" s="1"/>
  <c r="BO181" i="3" s="1"/>
  <c r="BP181" i="3" s="1"/>
  <c r="BM102" i="3"/>
  <c r="BN102" i="3" s="1"/>
  <c r="BO102" i="3" s="1"/>
  <c r="BP102" i="3" s="1"/>
  <c r="BM184" i="3"/>
  <c r="BN184" i="3" s="1"/>
  <c r="BO184" i="3" s="1"/>
  <c r="BP184" i="3" s="1"/>
  <c r="BM151" i="3"/>
  <c r="BN151" i="3" s="1"/>
  <c r="BO151" i="3" s="1"/>
  <c r="BP151" i="3" s="1"/>
  <c r="BM148" i="3"/>
  <c r="BN148" i="3" s="1"/>
  <c r="BO148" i="3" s="1"/>
  <c r="BP148" i="3" s="1"/>
  <c r="BM133" i="3"/>
  <c r="BN133" i="3" s="1"/>
  <c r="BO133" i="3" s="1"/>
  <c r="BP133" i="3" s="1"/>
  <c r="BM150" i="3"/>
  <c r="BN150" i="3" s="1"/>
  <c r="BO150" i="3" s="1"/>
  <c r="BP150" i="3" s="1"/>
  <c r="BM147" i="3"/>
  <c r="BN147" i="3" s="1"/>
  <c r="BO147" i="3" s="1"/>
  <c r="BP147" i="3" s="1"/>
  <c r="L171" i="3"/>
  <c r="L169" i="3"/>
  <c r="L121" i="3"/>
  <c r="BM159" i="3"/>
  <c r="BN159" i="3" s="1"/>
  <c r="BO159" i="3" s="1"/>
  <c r="BP159" i="3" s="1"/>
  <c r="L163" i="3"/>
  <c r="L111" i="3"/>
  <c r="AO109" i="3"/>
  <c r="AP109" i="3" s="1"/>
  <c r="AQ109" i="3" s="1"/>
  <c r="AR109" i="3" s="1"/>
  <c r="AO163" i="3"/>
  <c r="AP163" i="3" s="1"/>
  <c r="AQ163" i="3" s="1"/>
  <c r="AR163" i="3" s="1"/>
  <c r="AU128" i="3"/>
  <c r="AV128" i="3" s="1"/>
  <c r="AW128" i="3" s="1"/>
  <c r="AX128" i="3" s="1"/>
  <c r="AU111" i="3"/>
  <c r="AV111" i="3" s="1"/>
  <c r="AW111" i="3" s="1"/>
  <c r="AX111" i="3" s="1"/>
  <c r="D147" i="3"/>
  <c r="D120" i="3"/>
  <c r="D130" i="3"/>
  <c r="D107" i="3"/>
  <c r="D184" i="3"/>
  <c r="D102" i="3"/>
  <c r="D101" i="3"/>
  <c r="BM137" i="3"/>
  <c r="BN137" i="3" s="1"/>
  <c r="BO137" i="3" s="1"/>
  <c r="BP137" i="3" s="1"/>
  <c r="BM132" i="3"/>
  <c r="BN132" i="3" s="1"/>
  <c r="BO132" i="3" s="1"/>
  <c r="BP132" i="3" s="1"/>
  <c r="BM117" i="3"/>
  <c r="BN117" i="3" s="1"/>
  <c r="BO117" i="3" s="1"/>
  <c r="BP117" i="3" s="1"/>
  <c r="BM112" i="3"/>
  <c r="BN112" i="3" s="1"/>
  <c r="BO112" i="3" s="1"/>
  <c r="BP112" i="3" s="1"/>
  <c r="BM189" i="3"/>
  <c r="BN189" i="3" s="1"/>
  <c r="BO189" i="3" s="1"/>
  <c r="BP189" i="3" s="1"/>
  <c r="BM156" i="3"/>
  <c r="BN156" i="3" s="1"/>
  <c r="BO156" i="3" s="1"/>
  <c r="BP156" i="3" s="1"/>
  <c r="BM171" i="3"/>
  <c r="BN171" i="3" s="1"/>
  <c r="BO171" i="3" s="1"/>
  <c r="BP171" i="3" s="1"/>
  <c r="BM167" i="3"/>
  <c r="BN167" i="3" s="1"/>
  <c r="BO167" i="3" s="1"/>
  <c r="BP167" i="3" s="1"/>
  <c r="BM106" i="3"/>
  <c r="BN106" i="3" s="1"/>
  <c r="BO106" i="3" s="1"/>
  <c r="BP106" i="3" s="1"/>
  <c r="BM136" i="3"/>
  <c r="BN136" i="3" s="1"/>
  <c r="BO136" i="3" s="1"/>
  <c r="BP136" i="3" s="1"/>
  <c r="AO157" i="3"/>
  <c r="AP157" i="3" s="1"/>
  <c r="AQ157" i="3" s="1"/>
  <c r="AR157" i="3" s="1"/>
  <c r="BM146" i="3"/>
  <c r="BN146" i="3" s="1"/>
  <c r="BO146" i="3" s="1"/>
  <c r="BP146" i="3" s="1"/>
  <c r="BM165" i="3"/>
  <c r="BN165" i="3" s="1"/>
  <c r="BO165" i="3" s="1"/>
  <c r="BP165" i="3" s="1"/>
  <c r="BM121" i="3"/>
  <c r="BN121" i="3" s="1"/>
  <c r="BO121" i="3" s="1"/>
  <c r="BP121" i="3" s="1"/>
  <c r="BM131" i="3"/>
  <c r="BN131" i="3" s="1"/>
  <c r="BO131" i="3" s="1"/>
  <c r="BP131" i="3" s="1"/>
  <c r="BM145" i="3"/>
  <c r="BN145" i="3" s="1"/>
  <c r="BO145" i="3" s="1"/>
  <c r="BP145" i="3" s="1"/>
  <c r="BM138" i="3"/>
  <c r="BN138" i="3" s="1"/>
  <c r="BO138" i="3" s="1"/>
  <c r="BP138" i="3" s="1"/>
  <c r="BM175" i="3"/>
  <c r="BN175" i="3" s="1"/>
  <c r="BO175" i="3" s="1"/>
  <c r="BP175" i="3" s="1"/>
  <c r="BM113" i="3"/>
  <c r="BN113" i="3" s="1"/>
  <c r="BO113" i="3" s="1"/>
  <c r="BP113" i="3" s="1"/>
  <c r="AO172" i="3"/>
  <c r="AP172" i="3" s="1"/>
  <c r="AQ172" i="3" s="1"/>
  <c r="AR172" i="3" s="1"/>
  <c r="BM170" i="3"/>
  <c r="BN170" i="3" s="1"/>
  <c r="BO170" i="3" s="1"/>
  <c r="BP170" i="3" s="1"/>
  <c r="BM123" i="3"/>
  <c r="BN123" i="3" s="1"/>
  <c r="BO123" i="3" s="1"/>
  <c r="BP123" i="3" s="1"/>
  <c r="BM101" i="3"/>
  <c r="BN101" i="3" s="1"/>
  <c r="BO101" i="3" s="1"/>
  <c r="BP101" i="3" s="1"/>
  <c r="BM111" i="3"/>
  <c r="BN111" i="3" s="1"/>
  <c r="BO111" i="3" s="1"/>
  <c r="BP111" i="3" s="1"/>
  <c r="BM144" i="3"/>
  <c r="BN144" i="3" s="1"/>
  <c r="BO144" i="3" s="1"/>
  <c r="BP144" i="3" s="1"/>
  <c r="BM108" i="3"/>
  <c r="BN108" i="3" s="1"/>
  <c r="BO108" i="3" s="1"/>
  <c r="BP108" i="3" s="1"/>
  <c r="BM174" i="3"/>
  <c r="BN174" i="3" s="1"/>
  <c r="BO174" i="3" s="1"/>
  <c r="BP174" i="3" s="1"/>
  <c r="AO159" i="3"/>
  <c r="AP159" i="3" s="1"/>
  <c r="AQ159" i="3" s="1"/>
  <c r="AR159" i="3" s="1"/>
  <c r="BM128" i="3"/>
  <c r="BN128" i="3" s="1"/>
  <c r="BO128" i="3" s="1"/>
  <c r="BP128" i="3" s="1"/>
  <c r="BM180" i="3"/>
  <c r="BN180" i="3" s="1"/>
  <c r="BO180" i="3" s="1"/>
  <c r="BP180" i="3" s="1"/>
  <c r="BM135" i="3"/>
  <c r="BN135" i="3" s="1"/>
  <c r="BO135" i="3" s="1"/>
  <c r="BP135" i="3" s="1"/>
  <c r="AO111" i="3"/>
  <c r="AP111" i="3" s="1"/>
  <c r="AQ111" i="3" s="1"/>
  <c r="AR111" i="3" s="1"/>
  <c r="BM127" i="3"/>
  <c r="BN127" i="3" s="1"/>
  <c r="BO127" i="3" s="1"/>
  <c r="BP127" i="3" s="1"/>
  <c r="BM163" i="3"/>
  <c r="BN163" i="3" s="1"/>
  <c r="BO163" i="3" s="1"/>
  <c r="BP163" i="3" s="1"/>
  <c r="BM149" i="3"/>
  <c r="BN149" i="3" s="1"/>
  <c r="BO149" i="3" s="1"/>
  <c r="BP149" i="3" s="1"/>
  <c r="BM140" i="3"/>
  <c r="BN140" i="3" s="1"/>
  <c r="BO140" i="3" s="1"/>
  <c r="BP140" i="3" s="1"/>
  <c r="BM172" i="3"/>
  <c r="BN172" i="3" s="1"/>
  <c r="BO172" i="3" s="1"/>
  <c r="BP172" i="3" s="1"/>
  <c r="AO186" i="3"/>
  <c r="AP186" i="3" s="1"/>
  <c r="AQ186" i="3" s="1"/>
  <c r="AR186" i="3" s="1"/>
  <c r="BM103" i="3"/>
  <c r="BN103" i="3" s="1"/>
  <c r="BO103" i="3" s="1"/>
  <c r="BP103" i="3" s="1"/>
  <c r="BM143" i="3"/>
  <c r="BN143" i="3" s="1"/>
  <c r="BO143" i="3" s="1"/>
  <c r="BP143" i="3" s="1"/>
  <c r="BM152" i="3"/>
  <c r="BN152" i="3" s="1"/>
  <c r="BO152" i="3" s="1"/>
  <c r="BP152" i="3" s="1"/>
  <c r="AO185" i="3"/>
  <c r="AP185" i="3" s="1"/>
  <c r="AQ185" i="3" s="1"/>
  <c r="AR185" i="3" s="1"/>
  <c r="AO115" i="3"/>
  <c r="AP115" i="3" s="1"/>
  <c r="AQ115" i="3" s="1"/>
  <c r="AR115" i="3" s="1"/>
  <c r="BM105" i="3"/>
  <c r="BN105" i="3" s="1"/>
  <c r="BO105" i="3" s="1"/>
  <c r="BP105" i="3" s="1"/>
  <c r="BM177" i="3"/>
  <c r="BN177" i="3" s="1"/>
  <c r="BO177" i="3" s="1"/>
  <c r="BP177" i="3" s="1"/>
  <c r="BM168" i="3"/>
  <c r="BN168" i="3" s="1"/>
  <c r="BO168" i="3" s="1"/>
  <c r="BP168" i="3" s="1"/>
  <c r="BM120" i="3"/>
  <c r="BN120" i="3" s="1"/>
  <c r="BO120" i="3" s="1"/>
  <c r="BP120" i="3" s="1"/>
  <c r="BM115" i="3"/>
  <c r="BN115" i="3" s="1"/>
  <c r="BO115" i="3" s="1"/>
  <c r="BP115" i="3" s="1"/>
  <c r="AO130" i="3"/>
  <c r="AP130" i="3" s="1"/>
  <c r="AQ130" i="3" s="1"/>
  <c r="AR130" i="3" s="1"/>
  <c r="AO121" i="3"/>
  <c r="AP121" i="3" s="1"/>
  <c r="AQ121" i="3" s="1"/>
  <c r="AR121" i="3" s="1"/>
  <c r="AO144" i="3"/>
  <c r="AP144" i="3" s="1"/>
  <c r="AQ144" i="3" s="1"/>
  <c r="AR144" i="3" s="1"/>
  <c r="AO142" i="3"/>
  <c r="AP142" i="3" s="1"/>
  <c r="AQ142" i="3" s="1"/>
  <c r="AR142" i="3" s="1"/>
  <c r="AO149" i="3"/>
  <c r="AP149" i="3" s="1"/>
  <c r="AQ149" i="3" s="1"/>
  <c r="AR149" i="3" s="1"/>
  <c r="AO141" i="3"/>
  <c r="AP141" i="3" s="1"/>
  <c r="AQ141" i="3" s="1"/>
  <c r="AR141" i="3" s="1"/>
  <c r="AO178" i="3"/>
  <c r="AP178" i="3" s="1"/>
  <c r="AQ178" i="3" s="1"/>
  <c r="AR178" i="3" s="1"/>
  <c r="AO119" i="3"/>
  <c r="AP119" i="3" s="1"/>
  <c r="AQ119" i="3" s="1"/>
  <c r="AR119" i="3" s="1"/>
  <c r="AO158" i="3"/>
  <c r="AP158" i="3" s="1"/>
  <c r="AQ158" i="3" s="1"/>
  <c r="AR158" i="3" s="1"/>
  <c r="AO136" i="3"/>
  <c r="AP136" i="3" s="1"/>
  <c r="AQ136" i="3" s="1"/>
  <c r="AR136" i="3" s="1"/>
  <c r="AO114" i="3"/>
  <c r="AP114" i="3" s="1"/>
  <c r="AQ114" i="3" s="1"/>
  <c r="AR114" i="3" s="1"/>
  <c r="AO132" i="3"/>
  <c r="AP132" i="3" s="1"/>
  <c r="AQ132" i="3" s="1"/>
  <c r="AR132" i="3" s="1"/>
  <c r="AO129" i="3"/>
  <c r="AP129" i="3" s="1"/>
  <c r="AQ129" i="3" s="1"/>
  <c r="AR129" i="3" s="1"/>
  <c r="AO108" i="3"/>
  <c r="AP108" i="3" s="1"/>
  <c r="AQ108" i="3" s="1"/>
  <c r="AR108" i="3" s="1"/>
  <c r="AO116" i="3"/>
  <c r="AP116" i="3" s="1"/>
  <c r="AQ116" i="3" s="1"/>
  <c r="AR116" i="3" s="1"/>
  <c r="AO123" i="3"/>
  <c r="AP123" i="3" s="1"/>
  <c r="AQ123" i="3" s="1"/>
  <c r="AR123" i="3" s="1"/>
  <c r="AO179" i="3"/>
  <c r="AP179" i="3" s="1"/>
  <c r="AQ179" i="3" s="1"/>
  <c r="AR179" i="3" s="1"/>
  <c r="AO182" i="3"/>
  <c r="AP182" i="3" s="1"/>
  <c r="AQ182" i="3" s="1"/>
  <c r="AR182" i="3" s="1"/>
  <c r="AO100" i="3"/>
  <c r="AP100" i="3" s="1"/>
  <c r="AQ100" i="3" s="1"/>
  <c r="AR100" i="3" s="1"/>
  <c r="AO124" i="3"/>
  <c r="AP124" i="3" s="1"/>
  <c r="AQ124" i="3" s="1"/>
  <c r="AR124" i="3" s="1"/>
  <c r="AO104" i="3"/>
  <c r="AP104" i="3" s="1"/>
  <c r="AQ104" i="3" s="1"/>
  <c r="AR104" i="3" s="1"/>
  <c r="AO127" i="3"/>
  <c r="AP127" i="3" s="1"/>
  <c r="AQ127" i="3" s="1"/>
  <c r="AR127" i="3" s="1"/>
  <c r="AO128" i="3"/>
  <c r="AP128" i="3" s="1"/>
  <c r="AQ128" i="3" s="1"/>
  <c r="AR128" i="3" s="1"/>
  <c r="AO170" i="3"/>
  <c r="AP170" i="3" s="1"/>
  <c r="AQ170" i="3" s="1"/>
  <c r="AR170" i="3" s="1"/>
  <c r="AO189" i="3"/>
  <c r="AP189" i="3" s="1"/>
  <c r="AQ189" i="3" s="1"/>
  <c r="AR189" i="3" s="1"/>
  <c r="AO171" i="3"/>
  <c r="AP171" i="3" s="1"/>
  <c r="AQ171" i="3" s="1"/>
  <c r="AR171" i="3" s="1"/>
  <c r="AO113" i="3"/>
  <c r="AP113" i="3" s="1"/>
  <c r="AQ113" i="3" s="1"/>
  <c r="AR113" i="3" s="1"/>
  <c r="AO134" i="3"/>
  <c r="AP134" i="3" s="1"/>
  <c r="AQ134" i="3" s="1"/>
  <c r="AR134" i="3" s="1"/>
  <c r="AO155" i="3"/>
  <c r="AP155" i="3" s="1"/>
  <c r="AQ155" i="3" s="1"/>
  <c r="AR155" i="3" s="1"/>
  <c r="AO176" i="3"/>
  <c r="AP176" i="3" s="1"/>
  <c r="AQ176" i="3" s="1"/>
  <c r="AR176" i="3" s="1"/>
  <c r="AO103" i="3"/>
  <c r="AP103" i="3" s="1"/>
  <c r="AQ103" i="3" s="1"/>
  <c r="AR103" i="3" s="1"/>
  <c r="AO161" i="3"/>
  <c r="AP161" i="3" s="1"/>
  <c r="AQ161" i="3" s="1"/>
  <c r="AR161" i="3" s="1"/>
  <c r="AO162" i="3"/>
  <c r="AP162" i="3" s="1"/>
  <c r="AQ162" i="3" s="1"/>
  <c r="AR162" i="3" s="1"/>
  <c r="AO165" i="3"/>
  <c r="AP165" i="3" s="1"/>
  <c r="AQ165" i="3" s="1"/>
  <c r="AR165" i="3" s="1"/>
  <c r="AO101" i="3"/>
  <c r="AP101" i="3" s="1"/>
  <c r="AQ101" i="3" s="1"/>
  <c r="AR101" i="3" s="1"/>
  <c r="AO145" i="3"/>
  <c r="AP145" i="3" s="1"/>
  <c r="AQ145" i="3" s="1"/>
  <c r="AR145" i="3" s="1"/>
  <c r="AO148" i="3"/>
  <c r="AP148" i="3" s="1"/>
  <c r="AQ148" i="3" s="1"/>
  <c r="AR148" i="3" s="1"/>
  <c r="AO146" i="3"/>
  <c r="AP146" i="3" s="1"/>
  <c r="AQ146" i="3" s="1"/>
  <c r="AR146" i="3" s="1"/>
  <c r="AO138" i="3"/>
  <c r="AP138" i="3" s="1"/>
  <c r="AQ138" i="3" s="1"/>
  <c r="AR138" i="3" s="1"/>
  <c r="AO147" i="3"/>
  <c r="AP147" i="3" s="1"/>
  <c r="AQ147" i="3" s="1"/>
  <c r="AR147" i="3" s="1"/>
  <c r="AO168" i="3"/>
  <c r="AP168" i="3" s="1"/>
  <c r="AQ168" i="3" s="1"/>
  <c r="AR168" i="3" s="1"/>
  <c r="AO190" i="3"/>
  <c r="AP190" i="3" s="1"/>
  <c r="AQ190" i="3" s="1"/>
  <c r="AR190" i="3" s="1"/>
  <c r="AO110" i="3"/>
  <c r="AP110" i="3" s="1"/>
  <c r="AQ110" i="3" s="1"/>
  <c r="AR110" i="3" s="1"/>
  <c r="AO112" i="3"/>
  <c r="AP112" i="3" s="1"/>
  <c r="AQ112" i="3" s="1"/>
  <c r="AR112" i="3" s="1"/>
  <c r="AO133" i="3"/>
  <c r="AP133" i="3" s="1"/>
  <c r="AQ133" i="3" s="1"/>
  <c r="AR133" i="3" s="1"/>
  <c r="AO154" i="3"/>
  <c r="AP154" i="3" s="1"/>
  <c r="AQ154" i="3" s="1"/>
  <c r="AR154" i="3" s="1"/>
  <c r="AO175" i="3"/>
  <c r="AP175" i="3" s="1"/>
  <c r="AQ175" i="3" s="1"/>
  <c r="AR175" i="3" s="1"/>
  <c r="AO117" i="3"/>
  <c r="AP117" i="3" s="1"/>
  <c r="AQ117" i="3" s="1"/>
  <c r="AR117" i="3" s="1"/>
  <c r="AO120" i="3"/>
  <c r="AP120" i="3" s="1"/>
  <c r="AQ120" i="3" s="1"/>
  <c r="AR120" i="3" s="1"/>
  <c r="AO139" i="3"/>
  <c r="AP139" i="3" s="1"/>
  <c r="AQ139" i="3" s="1"/>
  <c r="AR139" i="3" s="1"/>
  <c r="AO102" i="3"/>
  <c r="AP102" i="3" s="1"/>
  <c r="AQ102" i="3" s="1"/>
  <c r="AR102" i="3" s="1"/>
  <c r="AO105" i="3"/>
  <c r="AP105" i="3" s="1"/>
  <c r="AQ105" i="3" s="1"/>
  <c r="AR105" i="3" s="1"/>
  <c r="AO180" i="3"/>
  <c r="AP180" i="3" s="1"/>
  <c r="AQ180" i="3" s="1"/>
  <c r="AR180" i="3" s="1"/>
  <c r="AO184" i="3"/>
  <c r="AP184" i="3" s="1"/>
  <c r="AQ184" i="3" s="1"/>
  <c r="AR184" i="3" s="1"/>
  <c r="AO183" i="3"/>
  <c r="AP183" i="3" s="1"/>
  <c r="AQ183" i="3" s="1"/>
  <c r="AR183" i="3" s="1"/>
  <c r="AO126" i="3"/>
  <c r="AP126" i="3" s="1"/>
  <c r="AQ126" i="3" s="1"/>
  <c r="AR126" i="3" s="1"/>
  <c r="AO174" i="3"/>
  <c r="AP174" i="3" s="1"/>
  <c r="AQ174" i="3" s="1"/>
  <c r="AR174" i="3" s="1"/>
  <c r="AO188" i="3"/>
  <c r="AP188" i="3" s="1"/>
  <c r="AQ188" i="3" s="1"/>
  <c r="AR188" i="3" s="1"/>
  <c r="AO125" i="3"/>
  <c r="AP125" i="3" s="1"/>
  <c r="AQ125" i="3" s="1"/>
  <c r="AR125" i="3" s="1"/>
  <c r="AO160" i="3"/>
  <c r="AP160" i="3" s="1"/>
  <c r="AQ160" i="3" s="1"/>
  <c r="AR160" i="3" s="1"/>
  <c r="AO173" i="3"/>
  <c r="AP173" i="3" s="1"/>
  <c r="AQ173" i="3" s="1"/>
  <c r="AR173" i="3" s="1"/>
  <c r="AO143" i="3"/>
  <c r="AP143" i="3" s="1"/>
  <c r="AQ143" i="3" s="1"/>
  <c r="AR143" i="3" s="1"/>
  <c r="AO106" i="3"/>
  <c r="AP106" i="3" s="1"/>
  <c r="AQ106" i="3" s="1"/>
  <c r="AR106" i="3" s="1"/>
  <c r="AO169" i="3"/>
  <c r="AP169" i="3" s="1"/>
  <c r="AQ169" i="3" s="1"/>
  <c r="AR169" i="3" s="1"/>
  <c r="AO166" i="3"/>
  <c r="AP166" i="3" s="1"/>
  <c r="AQ166" i="3" s="1"/>
  <c r="AR166" i="3" s="1"/>
  <c r="AO151" i="3"/>
  <c r="AP151" i="3" s="1"/>
  <c r="AQ151" i="3" s="1"/>
  <c r="AR151" i="3" s="1"/>
  <c r="AO164" i="3"/>
  <c r="AP164" i="3" s="1"/>
  <c r="AQ164" i="3" s="1"/>
  <c r="AR164" i="3" s="1"/>
  <c r="AO156" i="3"/>
  <c r="AP156" i="3" s="1"/>
  <c r="AQ156" i="3" s="1"/>
  <c r="AR156" i="3" s="1"/>
  <c r="AO137" i="3"/>
  <c r="AP137" i="3" s="1"/>
  <c r="AQ137" i="3" s="1"/>
  <c r="AR137" i="3" s="1"/>
  <c r="AO181" i="3"/>
  <c r="AP181" i="3" s="1"/>
  <c r="AQ181" i="3" s="1"/>
  <c r="AR181" i="3" s="1"/>
  <c r="AO122" i="3"/>
  <c r="AP122" i="3" s="1"/>
  <c r="AQ122" i="3" s="1"/>
  <c r="AR122" i="3" s="1"/>
  <c r="AO118" i="3"/>
  <c r="AP118" i="3" s="1"/>
  <c r="AQ118" i="3" s="1"/>
  <c r="AR118" i="3" s="1"/>
  <c r="AO177" i="3"/>
  <c r="AP177" i="3" s="1"/>
  <c r="AQ177" i="3" s="1"/>
  <c r="AR177" i="3" s="1"/>
  <c r="AO135" i="3"/>
  <c r="AP135" i="3" s="1"/>
  <c r="AQ135" i="3" s="1"/>
  <c r="AR135" i="3" s="1"/>
  <c r="AO153" i="3"/>
  <c r="AP153" i="3" s="1"/>
  <c r="AQ153" i="3" s="1"/>
  <c r="AR153" i="3" s="1"/>
  <c r="AO131" i="3"/>
  <c r="AP131" i="3" s="1"/>
  <c r="AQ131" i="3" s="1"/>
  <c r="AR131" i="3" s="1"/>
  <c r="AO150" i="3"/>
  <c r="AP150" i="3" s="1"/>
  <c r="AQ150" i="3" s="1"/>
  <c r="AR150" i="3" s="1"/>
  <c r="AO167" i="3"/>
  <c r="AP167" i="3" s="1"/>
  <c r="AQ167" i="3" s="1"/>
  <c r="AR167" i="3" s="1"/>
  <c r="AO152" i="3"/>
  <c r="AP152" i="3" s="1"/>
  <c r="AQ152" i="3" s="1"/>
  <c r="AR152" i="3" s="1"/>
  <c r="AO140" i="3"/>
  <c r="AP140" i="3" s="1"/>
  <c r="AQ140" i="3" s="1"/>
  <c r="AR140" i="3" s="1"/>
  <c r="AO187" i="3"/>
  <c r="AP187" i="3" s="1"/>
  <c r="AQ187" i="3" s="1"/>
  <c r="AR187" i="3" s="1"/>
  <c r="BM104" i="3"/>
  <c r="BN104" i="3" s="1"/>
  <c r="BO104" i="3" s="1"/>
  <c r="BP104" i="3" s="1"/>
  <c r="BM186" i="3"/>
  <c r="BN186" i="3" s="1"/>
  <c r="BO186" i="3" s="1"/>
  <c r="BP186" i="3" s="1"/>
  <c r="BM185" i="3"/>
  <c r="BN185" i="3" s="1"/>
  <c r="BO185" i="3" s="1"/>
  <c r="BP185" i="3" s="1"/>
  <c r="BM130" i="3"/>
  <c r="BN130" i="3" s="1"/>
  <c r="BO130" i="3" s="1"/>
  <c r="BP130" i="3" s="1"/>
  <c r="BM169" i="3"/>
  <c r="BN169" i="3" s="1"/>
  <c r="BO169" i="3" s="1"/>
  <c r="BP169" i="3" s="1"/>
  <c r="BM125" i="3"/>
  <c r="BN125" i="3" s="1"/>
  <c r="BO125" i="3" s="1"/>
  <c r="BP125" i="3" s="1"/>
  <c r="BM164" i="3"/>
  <c r="BN164" i="3" s="1"/>
  <c r="BO164" i="3" s="1"/>
  <c r="BP164" i="3" s="1"/>
  <c r="BM109" i="3"/>
  <c r="BN109" i="3" s="1"/>
  <c r="BO109" i="3" s="1"/>
  <c r="BP109" i="3" s="1"/>
  <c r="BM107" i="3"/>
  <c r="BN107" i="3" s="1"/>
  <c r="BO107" i="3" s="1"/>
  <c r="BP107" i="3" s="1"/>
  <c r="BM161" i="3"/>
  <c r="BN161" i="3" s="1"/>
  <c r="BO161" i="3" s="1"/>
  <c r="BP161" i="3" s="1"/>
  <c r="BM160" i="3"/>
  <c r="BN160" i="3" s="1"/>
  <c r="BO160" i="3" s="1"/>
  <c r="BP160" i="3" s="1"/>
  <c r="BM139" i="3"/>
  <c r="BN139" i="3" s="1"/>
  <c r="BO139" i="3" s="1"/>
  <c r="BP139" i="3" s="1"/>
  <c r="BM118" i="3"/>
  <c r="BN118" i="3" s="1"/>
  <c r="BO118" i="3" s="1"/>
  <c r="BP118" i="3" s="1"/>
  <c r="BM176" i="3"/>
  <c r="BN176" i="3" s="1"/>
  <c r="BO176" i="3" s="1"/>
  <c r="BP176" i="3" s="1"/>
  <c r="BM155" i="3"/>
  <c r="BN155" i="3" s="1"/>
  <c r="BO155" i="3" s="1"/>
  <c r="BP155" i="3" s="1"/>
  <c r="BM173" i="3"/>
  <c r="BN173" i="3" s="1"/>
  <c r="BO173" i="3" s="1"/>
  <c r="BP173" i="3" s="1"/>
  <c r="BM134" i="3"/>
  <c r="BN134" i="3" s="1"/>
  <c r="BO134" i="3" s="1"/>
  <c r="BP134" i="3" s="1"/>
  <c r="BA114" i="3"/>
  <c r="BB114" i="3" s="1"/>
  <c r="BC114" i="3" s="1"/>
  <c r="BD114" i="3" s="1"/>
  <c r="BA151" i="3"/>
  <c r="BB151" i="3" s="1"/>
  <c r="BC151" i="3" s="1"/>
  <c r="BD151" i="3" s="1"/>
  <c r="AU180" i="3"/>
  <c r="AV180" i="3" s="1"/>
  <c r="AW180" i="3" s="1"/>
  <c r="AX180" i="3" s="1"/>
  <c r="BG107" i="3"/>
  <c r="BH107" i="3" s="1"/>
  <c r="BI107" i="3" s="1"/>
  <c r="BJ107" i="3" s="1"/>
  <c r="AU133" i="3"/>
  <c r="AV133" i="3" s="1"/>
  <c r="AW133" i="3" s="1"/>
  <c r="AX133" i="3" s="1"/>
  <c r="BA142" i="3"/>
  <c r="BB142" i="3" s="1"/>
  <c r="BC142" i="3" s="1"/>
  <c r="BD142" i="3" s="1"/>
  <c r="BG168" i="3"/>
  <c r="BH168" i="3" s="1"/>
  <c r="BI168" i="3" s="1"/>
  <c r="BJ168" i="3" s="1"/>
  <c r="AU116" i="3"/>
  <c r="AV116" i="3" s="1"/>
  <c r="AW116" i="3" s="1"/>
  <c r="AX116" i="3" s="1"/>
  <c r="AU159" i="3"/>
  <c r="AV159" i="3" s="1"/>
  <c r="AW159" i="3" s="1"/>
  <c r="AX159" i="3" s="1"/>
  <c r="AU140" i="3"/>
  <c r="AV140" i="3" s="1"/>
  <c r="AW140" i="3" s="1"/>
  <c r="AX140" i="3" s="1"/>
  <c r="BA184" i="3"/>
  <c r="BB184" i="3" s="1"/>
  <c r="BC184" i="3" s="1"/>
  <c r="BD184" i="3" s="1"/>
  <c r="AU176" i="3"/>
  <c r="AV176" i="3" s="1"/>
  <c r="AW176" i="3" s="1"/>
  <c r="AX176" i="3" s="1"/>
  <c r="AU170" i="3"/>
  <c r="AV170" i="3" s="1"/>
  <c r="AW170" i="3" s="1"/>
  <c r="AX170" i="3" s="1"/>
  <c r="BA115" i="3"/>
  <c r="BB115" i="3" s="1"/>
  <c r="BC115" i="3" s="1"/>
  <c r="BD115" i="3" s="1"/>
  <c r="BA108" i="3"/>
  <c r="BB108" i="3" s="1"/>
  <c r="BC108" i="3" s="1"/>
  <c r="BD108" i="3" s="1"/>
  <c r="BG137" i="3"/>
  <c r="BH137" i="3" s="1"/>
  <c r="BI137" i="3" s="1"/>
  <c r="BJ137" i="3" s="1"/>
  <c r="AU150" i="3"/>
  <c r="AV150" i="3" s="1"/>
  <c r="AW150" i="3" s="1"/>
  <c r="AX150" i="3" s="1"/>
  <c r="AU148" i="3"/>
  <c r="AV148" i="3" s="1"/>
  <c r="AW148" i="3" s="1"/>
  <c r="AX148" i="3" s="1"/>
  <c r="BA113" i="3"/>
  <c r="BB113" i="3" s="1"/>
  <c r="BC113" i="3" s="1"/>
  <c r="BD113" i="3" s="1"/>
  <c r="BG112" i="3"/>
  <c r="BH112" i="3" s="1"/>
  <c r="BI112" i="3" s="1"/>
  <c r="BJ112" i="3" s="1"/>
  <c r="AU136" i="3"/>
  <c r="AV136" i="3" s="1"/>
  <c r="AW136" i="3" s="1"/>
  <c r="AX136" i="3" s="1"/>
  <c r="BA154" i="3"/>
  <c r="BB154" i="3" s="1"/>
  <c r="BC154" i="3" s="1"/>
  <c r="BD154" i="3" s="1"/>
  <c r="AU143" i="3"/>
  <c r="AV143" i="3" s="1"/>
  <c r="AW143" i="3" s="1"/>
  <c r="AX143" i="3" s="1"/>
  <c r="BA128" i="3"/>
  <c r="BB128" i="3" s="1"/>
  <c r="BC128" i="3" s="1"/>
  <c r="BD128" i="3" s="1"/>
  <c r="AU185" i="3"/>
  <c r="AV185" i="3" s="1"/>
  <c r="AW185" i="3" s="1"/>
  <c r="AX185" i="3" s="1"/>
  <c r="AU153" i="3"/>
  <c r="AV153" i="3" s="1"/>
  <c r="AW153" i="3" s="1"/>
  <c r="AX153" i="3" s="1"/>
  <c r="AU156" i="3"/>
  <c r="AV156" i="3" s="1"/>
  <c r="AW156" i="3" s="1"/>
  <c r="AX156" i="3" s="1"/>
  <c r="AU158" i="3"/>
  <c r="AV158" i="3" s="1"/>
  <c r="AW158" i="3" s="1"/>
  <c r="AX158" i="3" s="1"/>
  <c r="AU102" i="3"/>
  <c r="AV102" i="3" s="1"/>
  <c r="AW102" i="3" s="1"/>
  <c r="AX102" i="3" s="1"/>
  <c r="AU118" i="3"/>
  <c r="AV118" i="3" s="1"/>
  <c r="AW118" i="3" s="1"/>
  <c r="AX118" i="3" s="1"/>
  <c r="BA177" i="3"/>
  <c r="BB177" i="3" s="1"/>
  <c r="BC177" i="3" s="1"/>
  <c r="BD177" i="3" s="1"/>
  <c r="BA162" i="3"/>
  <c r="BB162" i="3" s="1"/>
  <c r="BC162" i="3" s="1"/>
  <c r="BD162" i="3" s="1"/>
  <c r="BG161" i="3"/>
  <c r="BH161" i="3" s="1"/>
  <c r="BI161" i="3" s="1"/>
  <c r="BJ161" i="3" s="1"/>
  <c r="BG171" i="3"/>
  <c r="BH171" i="3" s="1"/>
  <c r="BI171" i="3" s="1"/>
  <c r="BJ171" i="3" s="1"/>
  <c r="BA187" i="3"/>
  <c r="BB187" i="3" s="1"/>
  <c r="BC187" i="3" s="1"/>
  <c r="BD187" i="3" s="1"/>
  <c r="BG117" i="3"/>
  <c r="BH117" i="3" s="1"/>
  <c r="BI117" i="3" s="1"/>
  <c r="BJ117" i="3" s="1"/>
  <c r="BG154" i="3"/>
  <c r="BH154" i="3" s="1"/>
  <c r="BI154" i="3" s="1"/>
  <c r="BJ154" i="3" s="1"/>
  <c r="BG147" i="3"/>
  <c r="BH147" i="3" s="1"/>
  <c r="BI147" i="3" s="1"/>
  <c r="BJ147" i="3" s="1"/>
  <c r="BA156" i="3"/>
  <c r="BB156" i="3" s="1"/>
  <c r="BC156" i="3" s="1"/>
  <c r="BD156" i="3" s="1"/>
  <c r="AU163" i="3"/>
  <c r="AV163" i="3" s="1"/>
  <c r="AW163" i="3" s="1"/>
  <c r="AX163" i="3" s="1"/>
  <c r="AU144" i="3"/>
  <c r="AV144" i="3" s="1"/>
  <c r="AW144" i="3" s="1"/>
  <c r="AX144" i="3" s="1"/>
  <c r="BA117" i="3"/>
  <c r="BB117" i="3" s="1"/>
  <c r="BC117" i="3" s="1"/>
  <c r="BD117" i="3" s="1"/>
  <c r="AU164" i="3"/>
  <c r="AV164" i="3" s="1"/>
  <c r="AW164" i="3" s="1"/>
  <c r="AX164" i="3" s="1"/>
  <c r="BG190" i="3"/>
  <c r="BH190" i="3" s="1"/>
  <c r="BI190" i="3" s="1"/>
  <c r="BJ190" i="3" s="1"/>
  <c r="AU106" i="3"/>
  <c r="AV106" i="3" s="1"/>
  <c r="AW106" i="3" s="1"/>
  <c r="AX106" i="3" s="1"/>
  <c r="BG111" i="3"/>
  <c r="BH111" i="3" s="1"/>
  <c r="BI111" i="3" s="1"/>
  <c r="BJ111" i="3" s="1"/>
  <c r="BA140" i="3"/>
  <c r="BB140" i="3" s="1"/>
  <c r="BC140" i="3" s="1"/>
  <c r="BD140" i="3" s="1"/>
  <c r="AU147" i="3"/>
  <c r="AV147" i="3" s="1"/>
  <c r="AW147" i="3" s="1"/>
  <c r="AX147" i="3" s="1"/>
  <c r="BG152" i="3"/>
  <c r="BH152" i="3" s="1"/>
  <c r="BI152" i="3" s="1"/>
  <c r="BJ152" i="3" s="1"/>
  <c r="BA161" i="3"/>
  <c r="BB161" i="3" s="1"/>
  <c r="BC161" i="3" s="1"/>
  <c r="BD161" i="3" s="1"/>
  <c r="AU168" i="3"/>
  <c r="AV168" i="3" s="1"/>
  <c r="AW168" i="3" s="1"/>
  <c r="AX168" i="3" s="1"/>
  <c r="BG173" i="3"/>
  <c r="BH173" i="3" s="1"/>
  <c r="BI173" i="3" s="1"/>
  <c r="BJ173" i="3" s="1"/>
  <c r="BA182" i="3"/>
  <c r="BB182" i="3" s="1"/>
  <c r="BC182" i="3" s="1"/>
  <c r="BD182" i="3" s="1"/>
  <c r="AU189" i="3"/>
  <c r="AV189" i="3" s="1"/>
  <c r="AW189" i="3" s="1"/>
  <c r="AX189" i="3" s="1"/>
  <c r="BG174" i="3"/>
  <c r="BH174" i="3" s="1"/>
  <c r="BI174" i="3" s="1"/>
  <c r="BJ174" i="3" s="1"/>
  <c r="BA183" i="3"/>
  <c r="BB183" i="3" s="1"/>
  <c r="BC183" i="3" s="1"/>
  <c r="BD183" i="3" s="1"/>
  <c r="AU190" i="3"/>
  <c r="AV190" i="3" s="1"/>
  <c r="AW190" i="3" s="1"/>
  <c r="AX190" i="3" s="1"/>
  <c r="BA124" i="3"/>
  <c r="BB124" i="3" s="1"/>
  <c r="BC124" i="3" s="1"/>
  <c r="BD124" i="3" s="1"/>
  <c r="AU131" i="3"/>
  <c r="AV131" i="3" s="1"/>
  <c r="AW131" i="3" s="1"/>
  <c r="AX131" i="3" s="1"/>
  <c r="BG136" i="3"/>
  <c r="BH136" i="3" s="1"/>
  <c r="BI136" i="3" s="1"/>
  <c r="BJ136" i="3" s="1"/>
  <c r="BG157" i="3"/>
  <c r="BH157" i="3" s="1"/>
  <c r="BI157" i="3" s="1"/>
  <c r="BJ157" i="3" s="1"/>
  <c r="BA166" i="3"/>
  <c r="BB166" i="3" s="1"/>
  <c r="BC166" i="3" s="1"/>
  <c r="BD166" i="3" s="1"/>
  <c r="AU173" i="3"/>
  <c r="AV173" i="3" s="1"/>
  <c r="AW173" i="3" s="1"/>
  <c r="AX173" i="3" s="1"/>
  <c r="BA107" i="3"/>
  <c r="BB107" i="3" s="1"/>
  <c r="BC107" i="3" s="1"/>
  <c r="BD107" i="3" s="1"/>
  <c r="AU114" i="3"/>
  <c r="AV114" i="3" s="1"/>
  <c r="AW114" i="3" s="1"/>
  <c r="AX114" i="3" s="1"/>
  <c r="BG181" i="3"/>
  <c r="BH181" i="3" s="1"/>
  <c r="BI181" i="3" s="1"/>
  <c r="BJ181" i="3" s="1"/>
  <c r="BG140" i="3"/>
  <c r="BH140" i="3" s="1"/>
  <c r="BI140" i="3" s="1"/>
  <c r="BJ140" i="3" s="1"/>
  <c r="AU177" i="3"/>
  <c r="AV177" i="3" s="1"/>
  <c r="AW177" i="3" s="1"/>
  <c r="AX177" i="3" s="1"/>
  <c r="AU138" i="3"/>
  <c r="AV138" i="3" s="1"/>
  <c r="AW138" i="3" s="1"/>
  <c r="AX138" i="3" s="1"/>
  <c r="BA172" i="3"/>
  <c r="BB172" i="3" s="1"/>
  <c r="BC172" i="3" s="1"/>
  <c r="BD172" i="3" s="1"/>
  <c r="BG185" i="3"/>
  <c r="BH185" i="3" s="1"/>
  <c r="BI185" i="3" s="1"/>
  <c r="BJ185" i="3" s="1"/>
  <c r="BG102" i="3"/>
  <c r="BH102" i="3" s="1"/>
  <c r="BI102" i="3" s="1"/>
  <c r="BJ102" i="3" s="1"/>
  <c r="AU101" i="3"/>
  <c r="AV101" i="3" s="1"/>
  <c r="AW101" i="3" s="1"/>
  <c r="AX101" i="3" s="1"/>
  <c r="BG145" i="3"/>
  <c r="BH145" i="3" s="1"/>
  <c r="BI145" i="3" s="1"/>
  <c r="BJ145" i="3" s="1"/>
  <c r="AU142" i="3"/>
  <c r="AV142" i="3" s="1"/>
  <c r="AW142" i="3" s="1"/>
  <c r="AX142" i="3" s="1"/>
  <c r="BA178" i="3"/>
  <c r="BB178" i="3" s="1"/>
  <c r="BC178" i="3" s="1"/>
  <c r="BD178" i="3" s="1"/>
  <c r="BG149" i="3"/>
  <c r="BH149" i="3" s="1"/>
  <c r="BI149" i="3" s="1"/>
  <c r="BJ149" i="3" s="1"/>
  <c r="AU152" i="3"/>
  <c r="AV152" i="3" s="1"/>
  <c r="AW152" i="3" s="1"/>
  <c r="AX152" i="3" s="1"/>
  <c r="BA188" i="3"/>
  <c r="BB188" i="3" s="1"/>
  <c r="BC188" i="3" s="1"/>
  <c r="BD188" i="3" s="1"/>
  <c r="BA110" i="3"/>
  <c r="BB110" i="3" s="1"/>
  <c r="BC110" i="3" s="1"/>
  <c r="BD110" i="3" s="1"/>
  <c r="BG162" i="3"/>
  <c r="BH162" i="3" s="1"/>
  <c r="BI162" i="3" s="1"/>
  <c r="BJ162" i="3" s="1"/>
  <c r="BG121" i="3"/>
  <c r="BH121" i="3" s="1"/>
  <c r="BI121" i="3" s="1"/>
  <c r="BJ121" i="3" s="1"/>
  <c r="BG122" i="3"/>
  <c r="BH122" i="3" s="1"/>
  <c r="BI122" i="3" s="1"/>
  <c r="BJ122" i="3" s="1"/>
  <c r="AU160" i="3"/>
  <c r="AV160" i="3" s="1"/>
  <c r="AW160" i="3" s="1"/>
  <c r="AX160" i="3" s="1"/>
  <c r="AU121" i="3"/>
  <c r="AV121" i="3" s="1"/>
  <c r="AW121" i="3" s="1"/>
  <c r="AX121" i="3" s="1"/>
  <c r="BA155" i="3"/>
  <c r="BB155" i="3" s="1"/>
  <c r="BC155" i="3" s="1"/>
  <c r="BD155" i="3" s="1"/>
  <c r="BA118" i="3"/>
  <c r="BB118" i="3" s="1"/>
  <c r="BC118" i="3" s="1"/>
  <c r="BD118" i="3" s="1"/>
  <c r="BA125" i="3"/>
  <c r="BB125" i="3" s="1"/>
  <c r="BC125" i="3" s="1"/>
  <c r="BD125" i="3" s="1"/>
  <c r="BA149" i="3"/>
  <c r="BB149" i="3" s="1"/>
  <c r="BC149" i="3" s="1"/>
  <c r="BD149" i="3" s="1"/>
  <c r="BA112" i="3"/>
  <c r="BB112" i="3" s="1"/>
  <c r="BC112" i="3" s="1"/>
  <c r="BD112" i="3" s="1"/>
  <c r="AU132" i="3"/>
  <c r="AV132" i="3" s="1"/>
  <c r="AW132" i="3" s="1"/>
  <c r="AX132" i="3" s="1"/>
  <c r="BG167" i="3"/>
  <c r="BH167" i="3" s="1"/>
  <c r="BI167" i="3" s="1"/>
  <c r="BJ167" i="3" s="1"/>
  <c r="BA176" i="3"/>
  <c r="BB176" i="3" s="1"/>
  <c r="BC176" i="3" s="1"/>
  <c r="BD176" i="3" s="1"/>
  <c r="AU183" i="3"/>
  <c r="AV183" i="3" s="1"/>
  <c r="AW183" i="3" s="1"/>
  <c r="AX183" i="3" s="1"/>
  <c r="AU184" i="3"/>
  <c r="AV184" i="3" s="1"/>
  <c r="AW184" i="3" s="1"/>
  <c r="AX184" i="3" s="1"/>
  <c r="BA137" i="3"/>
  <c r="BB137" i="3" s="1"/>
  <c r="BC137" i="3" s="1"/>
  <c r="BD137" i="3" s="1"/>
  <c r="BG110" i="3"/>
  <c r="BH110" i="3" s="1"/>
  <c r="BI110" i="3" s="1"/>
  <c r="BJ110" i="3" s="1"/>
  <c r="BA119" i="3"/>
  <c r="BB119" i="3" s="1"/>
  <c r="BC119" i="3" s="1"/>
  <c r="BD119" i="3" s="1"/>
  <c r="AU126" i="3"/>
  <c r="AV126" i="3" s="1"/>
  <c r="AW126" i="3" s="1"/>
  <c r="AX126" i="3" s="1"/>
  <c r="BG131" i="3"/>
  <c r="BH131" i="3" s="1"/>
  <c r="BI131" i="3" s="1"/>
  <c r="BJ131" i="3" s="1"/>
  <c r="BA160" i="3"/>
  <c r="BB160" i="3" s="1"/>
  <c r="BC160" i="3" s="1"/>
  <c r="BD160" i="3" s="1"/>
  <c r="AU167" i="3"/>
  <c r="AV167" i="3" s="1"/>
  <c r="AW167" i="3" s="1"/>
  <c r="AX167" i="3" s="1"/>
  <c r="BG172" i="3"/>
  <c r="BH172" i="3" s="1"/>
  <c r="BI172" i="3" s="1"/>
  <c r="BJ172" i="3" s="1"/>
  <c r="BA181" i="3"/>
  <c r="BB181" i="3" s="1"/>
  <c r="BC181" i="3" s="1"/>
  <c r="BD181" i="3" s="1"/>
  <c r="AU188" i="3"/>
  <c r="AV188" i="3" s="1"/>
  <c r="AW188" i="3" s="1"/>
  <c r="AX188" i="3" s="1"/>
  <c r="BA102" i="3"/>
  <c r="BB102" i="3" s="1"/>
  <c r="BC102" i="3" s="1"/>
  <c r="BD102" i="3" s="1"/>
  <c r="AU109" i="3"/>
  <c r="AV109" i="3" s="1"/>
  <c r="AW109" i="3" s="1"/>
  <c r="AX109" i="3" s="1"/>
  <c r="BG175" i="3"/>
  <c r="BH175" i="3" s="1"/>
  <c r="BI175" i="3" s="1"/>
  <c r="BJ175" i="3" s="1"/>
  <c r="BA103" i="3"/>
  <c r="BB103" i="3" s="1"/>
  <c r="BC103" i="3" s="1"/>
  <c r="BD103" i="3" s="1"/>
  <c r="AU110" i="3"/>
  <c r="AV110" i="3" s="1"/>
  <c r="AW110" i="3" s="1"/>
  <c r="AX110" i="3" s="1"/>
  <c r="BG115" i="3"/>
  <c r="BH115" i="3" s="1"/>
  <c r="BI115" i="3" s="1"/>
  <c r="BJ115" i="3" s="1"/>
  <c r="BA144" i="3"/>
  <c r="BB144" i="3" s="1"/>
  <c r="BC144" i="3" s="1"/>
  <c r="BD144" i="3" s="1"/>
  <c r="AU151" i="3"/>
  <c r="AV151" i="3" s="1"/>
  <c r="AW151" i="3" s="1"/>
  <c r="AX151" i="3" s="1"/>
  <c r="BG156" i="3"/>
  <c r="BH156" i="3" s="1"/>
  <c r="BI156" i="3" s="1"/>
  <c r="BJ156" i="3" s="1"/>
  <c r="BG177" i="3"/>
  <c r="BH177" i="3" s="1"/>
  <c r="BI177" i="3" s="1"/>
  <c r="BJ177" i="3" s="1"/>
  <c r="BA186" i="3"/>
  <c r="BB186" i="3" s="1"/>
  <c r="BC186" i="3" s="1"/>
  <c r="BD186" i="3" s="1"/>
  <c r="BG118" i="3"/>
  <c r="BH118" i="3" s="1"/>
  <c r="BI118" i="3" s="1"/>
  <c r="BJ118" i="3" s="1"/>
  <c r="BA127" i="3"/>
  <c r="BB127" i="3" s="1"/>
  <c r="BC127" i="3" s="1"/>
  <c r="BD127" i="3" s="1"/>
  <c r="AU134" i="3"/>
  <c r="AV134" i="3" s="1"/>
  <c r="AW134" i="3" s="1"/>
  <c r="AX134" i="3" s="1"/>
  <c r="BA129" i="3"/>
  <c r="BB129" i="3" s="1"/>
  <c r="BC129" i="3" s="1"/>
  <c r="BD129" i="3" s="1"/>
  <c r="BG182" i="3"/>
  <c r="BH182" i="3" s="1"/>
  <c r="BI182" i="3" s="1"/>
  <c r="BJ182" i="3" s="1"/>
  <c r="BG141" i="3"/>
  <c r="BH141" i="3" s="1"/>
  <c r="BI141" i="3" s="1"/>
  <c r="BJ141" i="3" s="1"/>
  <c r="AU178" i="3"/>
  <c r="AV178" i="3" s="1"/>
  <c r="AW178" i="3" s="1"/>
  <c r="AX178" i="3" s="1"/>
  <c r="AU139" i="3"/>
  <c r="AV139" i="3" s="1"/>
  <c r="AW139" i="3" s="1"/>
  <c r="AX139" i="3" s="1"/>
  <c r="BA133" i="3"/>
  <c r="BB133" i="3" s="1"/>
  <c r="BC133" i="3" s="1"/>
  <c r="BD133" i="3" s="1"/>
  <c r="BG144" i="3"/>
  <c r="BH144" i="3" s="1"/>
  <c r="BI144" i="3" s="1"/>
  <c r="BJ144" i="3" s="1"/>
  <c r="AU141" i="3"/>
  <c r="AV141" i="3" s="1"/>
  <c r="AW141" i="3" s="1"/>
  <c r="AX141" i="3" s="1"/>
  <c r="BG189" i="3"/>
  <c r="BH189" i="3" s="1"/>
  <c r="BI189" i="3" s="1"/>
  <c r="BJ189" i="3" s="1"/>
  <c r="AU182" i="3"/>
  <c r="AV182" i="3" s="1"/>
  <c r="AW182" i="3" s="1"/>
  <c r="AX182" i="3" s="1"/>
  <c r="AU105" i="3"/>
  <c r="AV105" i="3" s="1"/>
  <c r="AW105" i="3" s="1"/>
  <c r="AX105" i="3" s="1"/>
  <c r="BA105" i="3"/>
  <c r="BB105" i="3" s="1"/>
  <c r="BC105" i="3" s="1"/>
  <c r="BD105" i="3" s="1"/>
  <c r="BG106" i="3"/>
  <c r="BH106" i="3" s="1"/>
  <c r="BI106" i="3" s="1"/>
  <c r="BJ106" i="3" s="1"/>
  <c r="AU115" i="3"/>
  <c r="AV115" i="3" s="1"/>
  <c r="AW115" i="3" s="1"/>
  <c r="AX115" i="3" s="1"/>
  <c r="BA150" i="3"/>
  <c r="BB150" i="3" s="1"/>
  <c r="BC150" i="3" s="1"/>
  <c r="BD150" i="3" s="1"/>
  <c r="BA111" i="3"/>
  <c r="BB111" i="3" s="1"/>
  <c r="BC111" i="3" s="1"/>
  <c r="BD111" i="3" s="1"/>
  <c r="BG163" i="3"/>
  <c r="BH163" i="3" s="1"/>
  <c r="BI163" i="3" s="1"/>
  <c r="BJ163" i="3" s="1"/>
  <c r="BG164" i="3"/>
  <c r="BH164" i="3" s="1"/>
  <c r="BI164" i="3" s="1"/>
  <c r="BJ164" i="3" s="1"/>
  <c r="BG123" i="3"/>
  <c r="BH123" i="3" s="1"/>
  <c r="BI123" i="3" s="1"/>
  <c r="BJ123" i="3" s="1"/>
  <c r="AU161" i="3"/>
  <c r="AV161" i="3" s="1"/>
  <c r="AW161" i="3" s="1"/>
  <c r="AX161" i="3" s="1"/>
  <c r="AU122" i="3"/>
  <c r="AV122" i="3" s="1"/>
  <c r="AW122" i="3" s="1"/>
  <c r="AX122" i="3" s="1"/>
  <c r="BA158" i="3"/>
  <c r="BB158" i="3" s="1"/>
  <c r="BC158" i="3" s="1"/>
  <c r="BD158" i="3" s="1"/>
  <c r="BA165" i="3"/>
  <c r="BB165" i="3" s="1"/>
  <c r="BC165" i="3" s="1"/>
  <c r="BD165" i="3" s="1"/>
  <c r="BA189" i="3"/>
  <c r="BB189" i="3" s="1"/>
  <c r="BC189" i="3" s="1"/>
  <c r="BD189" i="3" s="1"/>
  <c r="AU135" i="3"/>
  <c r="AV135" i="3" s="1"/>
  <c r="AW135" i="3" s="1"/>
  <c r="AX135" i="3" s="1"/>
  <c r="AU175" i="3"/>
  <c r="AV175" i="3" s="1"/>
  <c r="AW175" i="3" s="1"/>
  <c r="AX175" i="3" s="1"/>
  <c r="AU103" i="3"/>
  <c r="AV103" i="3" s="1"/>
  <c r="AW103" i="3" s="1"/>
  <c r="AX103" i="3" s="1"/>
  <c r="BG128" i="3"/>
  <c r="BH128" i="3" s="1"/>
  <c r="BI128" i="3" s="1"/>
  <c r="BJ128" i="3" s="1"/>
  <c r="BG130" i="3"/>
  <c r="BH130" i="3" s="1"/>
  <c r="BI130" i="3" s="1"/>
  <c r="BJ130" i="3" s="1"/>
  <c r="AU146" i="3"/>
  <c r="AV146" i="3" s="1"/>
  <c r="AW146" i="3" s="1"/>
  <c r="AX146" i="3" s="1"/>
  <c r="BA180" i="3"/>
  <c r="BB180" i="3" s="1"/>
  <c r="BC180" i="3" s="1"/>
  <c r="BD180" i="3" s="1"/>
  <c r="BA101" i="3"/>
  <c r="BB101" i="3" s="1"/>
  <c r="BC101" i="3" s="1"/>
  <c r="BD101" i="3" s="1"/>
  <c r="BG113" i="3"/>
  <c r="BH113" i="3" s="1"/>
  <c r="BI113" i="3" s="1"/>
  <c r="BJ113" i="3" s="1"/>
  <c r="AU129" i="3"/>
  <c r="AV129" i="3" s="1"/>
  <c r="AW129" i="3" s="1"/>
  <c r="AX129" i="3" s="1"/>
  <c r="BA123" i="3"/>
  <c r="BB123" i="3" s="1"/>
  <c r="BC123" i="3" s="1"/>
  <c r="BD123" i="3" s="1"/>
  <c r="BG135" i="3"/>
  <c r="BH135" i="3" s="1"/>
  <c r="BI135" i="3" s="1"/>
  <c r="BJ135" i="3" s="1"/>
  <c r="AU171" i="3"/>
  <c r="AV171" i="3" s="1"/>
  <c r="AW171" i="3" s="1"/>
  <c r="AX171" i="3" s="1"/>
  <c r="BA106" i="3"/>
  <c r="BB106" i="3" s="1"/>
  <c r="BC106" i="3" s="1"/>
  <c r="BD106" i="3" s="1"/>
  <c r="BG138" i="3"/>
  <c r="BH138" i="3" s="1"/>
  <c r="BI138" i="3" s="1"/>
  <c r="BJ138" i="3" s="1"/>
  <c r="AU154" i="3"/>
  <c r="AV154" i="3" s="1"/>
  <c r="AW154" i="3" s="1"/>
  <c r="AX154" i="3" s="1"/>
  <c r="BA130" i="3"/>
  <c r="BB130" i="3" s="1"/>
  <c r="BC130" i="3" s="1"/>
  <c r="BD130" i="3" s="1"/>
  <c r="BG142" i="3"/>
  <c r="BH142" i="3" s="1"/>
  <c r="BI142" i="3" s="1"/>
  <c r="BJ142" i="3" s="1"/>
  <c r="BA173" i="3"/>
  <c r="BB173" i="3" s="1"/>
  <c r="BC173" i="3" s="1"/>
  <c r="BD173" i="3" s="1"/>
  <c r="AU181" i="3"/>
  <c r="AV181" i="3" s="1"/>
  <c r="AW181" i="3" s="1"/>
  <c r="AX181" i="3" s="1"/>
  <c r="BG104" i="3"/>
  <c r="BH104" i="3" s="1"/>
  <c r="BI104" i="3" s="1"/>
  <c r="BJ104" i="3" s="1"/>
  <c r="BA145" i="3"/>
  <c r="BB145" i="3" s="1"/>
  <c r="BC145" i="3" s="1"/>
  <c r="BD145" i="3" s="1"/>
  <c r="BG187" i="3"/>
  <c r="BH187" i="3" s="1"/>
  <c r="BI187" i="3" s="1"/>
  <c r="BJ187" i="3" s="1"/>
  <c r="BG108" i="3"/>
  <c r="BH108" i="3" s="1"/>
  <c r="BI108" i="3" s="1"/>
  <c r="BJ108" i="3" s="1"/>
  <c r="BA157" i="3"/>
  <c r="BB157" i="3" s="1"/>
  <c r="BC157" i="3" s="1"/>
  <c r="BD157" i="3" s="1"/>
  <c r="BA139" i="3"/>
  <c r="BB139" i="3" s="1"/>
  <c r="BC139" i="3" s="1"/>
  <c r="BD139" i="3" s="1"/>
  <c r="BG151" i="3"/>
  <c r="BH151" i="3" s="1"/>
  <c r="BI151" i="3" s="1"/>
  <c r="BJ151" i="3" s="1"/>
  <c r="AU187" i="3"/>
  <c r="AV187" i="3" s="1"/>
  <c r="AW187" i="3" s="1"/>
  <c r="AX187" i="3" s="1"/>
  <c r="AU108" i="3"/>
  <c r="AV108" i="3" s="1"/>
  <c r="AW108" i="3" s="1"/>
  <c r="AX108" i="3" s="1"/>
  <c r="BA122" i="3"/>
  <c r="BB122" i="3" s="1"/>
  <c r="BC122" i="3" s="1"/>
  <c r="BD122" i="3" s="1"/>
  <c r="BG114" i="3"/>
  <c r="BH114" i="3" s="1"/>
  <c r="BI114" i="3" s="1"/>
  <c r="BJ114" i="3" s="1"/>
  <c r="AU130" i="3"/>
  <c r="AV130" i="3" s="1"/>
  <c r="AW130" i="3" s="1"/>
  <c r="AX130" i="3" s="1"/>
  <c r="BA164" i="3"/>
  <c r="BB164" i="3" s="1"/>
  <c r="BC164" i="3" s="1"/>
  <c r="BD164" i="3" s="1"/>
  <c r="BG176" i="3"/>
  <c r="BH176" i="3" s="1"/>
  <c r="BI176" i="3" s="1"/>
  <c r="BJ176" i="3" s="1"/>
  <c r="AU113" i="3"/>
  <c r="AV113" i="3" s="1"/>
  <c r="AW113" i="3" s="1"/>
  <c r="AX113" i="3" s="1"/>
  <c r="BA147" i="3"/>
  <c r="BB147" i="3" s="1"/>
  <c r="BC147" i="3" s="1"/>
  <c r="BD147" i="3" s="1"/>
  <c r="BA169" i="3"/>
  <c r="BB169" i="3" s="1"/>
  <c r="BC169" i="3" s="1"/>
  <c r="BD169" i="3" s="1"/>
  <c r="BG183" i="3"/>
  <c r="BH183" i="3" s="1"/>
  <c r="BI183" i="3" s="1"/>
  <c r="BJ183" i="3" s="1"/>
  <c r="AU179" i="3"/>
  <c r="AV179" i="3" s="1"/>
  <c r="AW179" i="3" s="1"/>
  <c r="AX179" i="3" s="1"/>
  <c r="BG186" i="3"/>
  <c r="BH186" i="3" s="1"/>
  <c r="BI186" i="3" s="1"/>
  <c r="BJ186" i="3" s="1"/>
  <c r="BA135" i="3"/>
  <c r="BB135" i="3" s="1"/>
  <c r="BC135" i="3" s="1"/>
  <c r="BD135" i="3" s="1"/>
  <c r="AU145" i="3"/>
  <c r="AV145" i="3" s="1"/>
  <c r="AW145" i="3" s="1"/>
  <c r="AX145" i="3" s="1"/>
  <c r="BG159" i="3"/>
  <c r="BH159" i="3" s="1"/>
  <c r="BI159" i="3" s="1"/>
  <c r="BJ159" i="3" s="1"/>
  <c r="BG188" i="3"/>
  <c r="BH188" i="3" s="1"/>
  <c r="BI188" i="3" s="1"/>
  <c r="BJ188" i="3" s="1"/>
  <c r="BA179" i="3"/>
  <c r="BB179" i="3" s="1"/>
  <c r="BC179" i="3" s="1"/>
  <c r="BD179" i="3" s="1"/>
  <c r="BA171" i="3"/>
  <c r="BB171" i="3" s="1"/>
  <c r="BC171" i="3" s="1"/>
  <c r="BD171" i="3" s="1"/>
  <c r="BG101" i="3"/>
  <c r="BH101" i="3" s="1"/>
  <c r="BI101" i="3" s="1"/>
  <c r="BJ101" i="3" s="1"/>
  <c r="BG103" i="3"/>
  <c r="BH103" i="3" s="1"/>
  <c r="BI103" i="3" s="1"/>
  <c r="BJ103" i="3" s="1"/>
  <c r="BG146" i="3"/>
  <c r="BH146" i="3" s="1"/>
  <c r="BI146" i="3" s="1"/>
  <c r="BJ146" i="3" s="1"/>
  <c r="BA148" i="3"/>
  <c r="BB148" i="3" s="1"/>
  <c r="BC148" i="3" s="1"/>
  <c r="BD148" i="3" s="1"/>
  <c r="BG125" i="3"/>
  <c r="BH125" i="3" s="1"/>
  <c r="BI125" i="3" s="1"/>
  <c r="BJ125" i="3" s="1"/>
  <c r="AU124" i="3"/>
  <c r="AV124" i="3" s="1"/>
  <c r="AW124" i="3" s="1"/>
  <c r="AX124" i="3" s="1"/>
  <c r="BA134" i="3"/>
  <c r="BB134" i="3" s="1"/>
  <c r="BC134" i="3" s="1"/>
  <c r="BD134" i="3" s="1"/>
  <c r="BA138" i="3"/>
  <c r="BB138" i="3" s="1"/>
  <c r="BC138" i="3" s="1"/>
  <c r="BD138" i="3" s="1"/>
  <c r="BG180" i="3"/>
  <c r="BH180" i="3" s="1"/>
  <c r="BI180" i="3" s="1"/>
  <c r="BJ180" i="3" s="1"/>
  <c r="BA116" i="3"/>
  <c r="BB116" i="3" s="1"/>
  <c r="BC116" i="3" s="1"/>
  <c r="BD116" i="3" s="1"/>
  <c r="BA153" i="3"/>
  <c r="BB153" i="3" s="1"/>
  <c r="BC153" i="3" s="1"/>
  <c r="BD153" i="3" s="1"/>
  <c r="BA190" i="3"/>
  <c r="BB190" i="3" s="1"/>
  <c r="BC190" i="3" s="1"/>
  <c r="BD190" i="3" s="1"/>
  <c r="BG143" i="3"/>
  <c r="BH143" i="3" s="1"/>
  <c r="BI143" i="3" s="1"/>
  <c r="BJ143" i="3" s="1"/>
  <c r="BG124" i="3"/>
  <c r="BH124" i="3" s="1"/>
  <c r="BI124" i="3" s="1"/>
  <c r="BJ124" i="3" s="1"/>
  <c r="BA136" i="3"/>
  <c r="BB136" i="3" s="1"/>
  <c r="BC136" i="3" s="1"/>
  <c r="BD136" i="3" s="1"/>
  <c r="AU120" i="3"/>
  <c r="AV120" i="3" s="1"/>
  <c r="AW120" i="3" s="1"/>
  <c r="AX120" i="3" s="1"/>
  <c r="AU104" i="3"/>
  <c r="AV104" i="3" s="1"/>
  <c r="AW104" i="3" s="1"/>
  <c r="AX104" i="3" s="1"/>
  <c r="AU157" i="3"/>
  <c r="AV157" i="3" s="1"/>
  <c r="AW157" i="3" s="1"/>
  <c r="AX157" i="3" s="1"/>
  <c r="BG129" i="3"/>
  <c r="BH129" i="3" s="1"/>
  <c r="BI129" i="3" s="1"/>
  <c r="BJ129" i="3" s="1"/>
  <c r="BG109" i="3"/>
  <c r="BH109" i="3" s="1"/>
  <c r="BI109" i="3" s="1"/>
  <c r="BJ109" i="3" s="1"/>
  <c r="BA185" i="3"/>
  <c r="BB185" i="3" s="1"/>
  <c r="BC185" i="3" s="1"/>
  <c r="BD185" i="3" s="1"/>
  <c r="BG169" i="3"/>
  <c r="BH169" i="3" s="1"/>
  <c r="BI169" i="3" s="1"/>
  <c r="BJ169" i="3" s="1"/>
  <c r="AU166" i="3"/>
  <c r="AV166" i="3" s="1"/>
  <c r="AW166" i="3" s="1"/>
  <c r="AX166" i="3" s="1"/>
  <c r="BA152" i="3"/>
  <c r="BB152" i="3" s="1"/>
  <c r="BC152" i="3" s="1"/>
  <c r="BD152" i="3" s="1"/>
  <c r="AU107" i="3"/>
  <c r="AV107" i="3" s="1"/>
  <c r="AW107" i="3" s="1"/>
  <c r="AX107" i="3" s="1"/>
  <c r="BA121" i="3"/>
  <c r="BB121" i="3" s="1"/>
  <c r="BC121" i="3" s="1"/>
  <c r="BD121" i="3" s="1"/>
  <c r="BG133" i="3"/>
  <c r="BH133" i="3" s="1"/>
  <c r="BI133" i="3" s="1"/>
  <c r="BJ133" i="3" s="1"/>
  <c r="AU149" i="3"/>
  <c r="AV149" i="3" s="1"/>
  <c r="AW149" i="3" s="1"/>
  <c r="AX149" i="3" s="1"/>
  <c r="BA143" i="3"/>
  <c r="BB143" i="3" s="1"/>
  <c r="BC143" i="3" s="1"/>
  <c r="BD143" i="3" s="1"/>
  <c r="BG155" i="3"/>
  <c r="BH155" i="3" s="1"/>
  <c r="BI155" i="3" s="1"/>
  <c r="BJ155" i="3" s="1"/>
  <c r="AU100" i="3"/>
  <c r="AV100" i="3" s="1"/>
  <c r="AW100" i="3" s="1"/>
  <c r="AX100" i="3" s="1"/>
  <c r="BA126" i="3"/>
  <c r="BB126" i="3" s="1"/>
  <c r="BC126" i="3" s="1"/>
  <c r="BD126" i="3" s="1"/>
  <c r="BG158" i="3"/>
  <c r="BH158" i="3" s="1"/>
  <c r="BI158" i="3" s="1"/>
  <c r="BJ158" i="3" s="1"/>
  <c r="AU174" i="3"/>
  <c r="AV174" i="3" s="1"/>
  <c r="AW174" i="3" s="1"/>
  <c r="AX174" i="3" s="1"/>
  <c r="BA170" i="3"/>
  <c r="BB170" i="3" s="1"/>
  <c r="BC170" i="3" s="1"/>
  <c r="BD170" i="3" s="1"/>
  <c r="AU155" i="3"/>
  <c r="AV155" i="3" s="1"/>
  <c r="AW155" i="3" s="1"/>
  <c r="AX155" i="3" s="1"/>
  <c r="BG120" i="3"/>
  <c r="BH120" i="3" s="1"/>
  <c r="BI120" i="3" s="1"/>
  <c r="BJ120" i="3" s="1"/>
  <c r="BG160" i="3"/>
  <c r="BH160" i="3" s="1"/>
  <c r="BI160" i="3" s="1"/>
  <c r="BJ160" i="3" s="1"/>
  <c r="BG150" i="3"/>
  <c r="BH150" i="3" s="1"/>
  <c r="BI150" i="3" s="1"/>
  <c r="BJ150" i="3" s="1"/>
  <c r="AU127" i="3"/>
  <c r="AV127" i="3" s="1"/>
  <c r="AW127" i="3" s="1"/>
  <c r="AX127" i="3" s="1"/>
  <c r="BA141" i="3"/>
  <c r="BB141" i="3" s="1"/>
  <c r="BC141" i="3" s="1"/>
  <c r="BD141" i="3" s="1"/>
  <c r="BG153" i="3"/>
  <c r="BH153" i="3" s="1"/>
  <c r="BI153" i="3" s="1"/>
  <c r="BJ153" i="3" s="1"/>
  <c r="AU169" i="3"/>
  <c r="AV169" i="3" s="1"/>
  <c r="AW169" i="3" s="1"/>
  <c r="AX169" i="3" s="1"/>
  <c r="BA163" i="3"/>
  <c r="BB163" i="3" s="1"/>
  <c r="BC163" i="3" s="1"/>
  <c r="BD163" i="3" s="1"/>
  <c r="BA104" i="3"/>
  <c r="BB104" i="3" s="1"/>
  <c r="BC104" i="3" s="1"/>
  <c r="BD104" i="3" s="1"/>
  <c r="BG116" i="3"/>
  <c r="BH116" i="3" s="1"/>
  <c r="BI116" i="3" s="1"/>
  <c r="BJ116" i="3" s="1"/>
  <c r="BA146" i="3"/>
  <c r="BB146" i="3" s="1"/>
  <c r="BC146" i="3" s="1"/>
  <c r="BD146" i="3" s="1"/>
  <c r="BG178" i="3"/>
  <c r="BH178" i="3" s="1"/>
  <c r="BI178" i="3" s="1"/>
  <c r="BJ178" i="3" s="1"/>
  <c r="BG139" i="3"/>
  <c r="BH139" i="3" s="1"/>
  <c r="BI139" i="3" s="1"/>
  <c r="BJ139" i="3" s="1"/>
  <c r="BG166" i="3"/>
  <c r="BH166" i="3" s="1"/>
  <c r="BI166" i="3" s="1"/>
  <c r="BJ166" i="3" s="1"/>
  <c r="BA109" i="3"/>
  <c r="BB109" i="3" s="1"/>
  <c r="BC109" i="3" s="1"/>
  <c r="BD109" i="3" s="1"/>
  <c r="BG184" i="3"/>
  <c r="BH184" i="3" s="1"/>
  <c r="BI184" i="3" s="1"/>
  <c r="BJ184" i="3" s="1"/>
  <c r="BA174" i="3"/>
  <c r="BB174" i="3" s="1"/>
  <c r="BC174" i="3" s="1"/>
  <c r="BD174" i="3" s="1"/>
  <c r="BA175" i="3"/>
  <c r="BB175" i="3" s="1"/>
  <c r="BC175" i="3" s="1"/>
  <c r="BD175" i="3" s="1"/>
  <c r="AU112" i="3"/>
  <c r="AV112" i="3" s="1"/>
  <c r="AW112" i="3" s="1"/>
  <c r="AX112" i="3" s="1"/>
  <c r="AU119" i="3"/>
  <c r="AV119" i="3" s="1"/>
  <c r="AW119" i="3" s="1"/>
  <c r="AX119" i="3" s="1"/>
  <c r="BG148" i="3"/>
  <c r="BH148" i="3" s="1"/>
  <c r="BI148" i="3" s="1"/>
  <c r="BJ148" i="3" s="1"/>
  <c r="AU186" i="3"/>
  <c r="AV186" i="3" s="1"/>
  <c r="AW186" i="3" s="1"/>
  <c r="AX186" i="3" s="1"/>
  <c r="AU137" i="3"/>
  <c r="AV137" i="3" s="1"/>
  <c r="AW137" i="3" s="1"/>
  <c r="AX137" i="3" s="1"/>
  <c r="BG119" i="3"/>
  <c r="BH119" i="3" s="1"/>
  <c r="BI119" i="3" s="1"/>
  <c r="BJ119" i="3" s="1"/>
  <c r="AU172" i="3"/>
  <c r="AV172" i="3" s="1"/>
  <c r="AW172" i="3" s="1"/>
  <c r="AX172" i="3" s="1"/>
  <c r="AU165" i="3"/>
  <c r="AV165" i="3" s="1"/>
  <c r="AW165" i="3" s="1"/>
  <c r="AX165" i="3" s="1"/>
  <c r="AU123" i="3"/>
  <c r="AV123" i="3" s="1"/>
  <c r="AW123" i="3" s="1"/>
  <c r="AX123" i="3" s="1"/>
  <c r="BG170" i="3"/>
  <c r="BH170" i="3" s="1"/>
  <c r="BI170" i="3" s="1"/>
  <c r="BJ170" i="3" s="1"/>
  <c r="AU162" i="3"/>
  <c r="AV162" i="3" s="1"/>
  <c r="AW162" i="3" s="1"/>
  <c r="AX162" i="3" s="1"/>
  <c r="BA120" i="3"/>
  <c r="BB120" i="3" s="1"/>
  <c r="BC120" i="3" s="1"/>
  <c r="BD120" i="3" s="1"/>
  <c r="BG179" i="3"/>
  <c r="BH179" i="3" s="1"/>
  <c r="BI179" i="3" s="1"/>
  <c r="BJ179" i="3" s="1"/>
  <c r="AU125" i="3"/>
  <c r="AV125" i="3" s="1"/>
  <c r="AW125" i="3" s="1"/>
  <c r="AX125" i="3" s="1"/>
  <c r="BA132" i="3"/>
  <c r="BB132" i="3" s="1"/>
  <c r="BC132" i="3" s="1"/>
  <c r="BD132" i="3" s="1"/>
  <c r="BA159" i="3"/>
  <c r="BB159" i="3" s="1"/>
  <c r="BC159" i="3" s="1"/>
  <c r="BD159" i="3" s="1"/>
  <c r="D26" i="31" l="1"/>
  <c r="C33" i="31" s="1"/>
  <c r="H4" i="24"/>
  <c r="BS170" i="3"/>
  <c r="BT170" i="3" s="1"/>
  <c r="BU170" i="3" s="1"/>
  <c r="BV170" i="3" s="1"/>
  <c r="BS145" i="3"/>
  <c r="BT145" i="3" s="1"/>
  <c r="BU145" i="3" s="1"/>
  <c r="BV145" i="3" s="1"/>
  <c r="BS109" i="3"/>
  <c r="BT109" i="3" s="1"/>
  <c r="BU109" i="3" s="1"/>
  <c r="BV109" i="3" s="1"/>
  <c r="BS120" i="3"/>
  <c r="BT120" i="3" s="1"/>
  <c r="BU120" i="3" s="1"/>
  <c r="BV120" i="3" s="1"/>
  <c r="E177" i="3"/>
  <c r="E183" i="3"/>
  <c r="E161" i="3"/>
  <c r="I167" i="3"/>
  <c r="F69" i="3"/>
  <c r="BS130" i="3"/>
  <c r="BT130" i="3" s="1"/>
  <c r="BU130" i="3" s="1"/>
  <c r="BV130" i="3" s="1"/>
  <c r="BS107" i="3"/>
  <c r="BT107" i="3" s="1"/>
  <c r="BU107" i="3" s="1"/>
  <c r="BV107" i="3" s="1"/>
  <c r="I176" i="3"/>
  <c r="I115" i="3"/>
  <c r="I182" i="3"/>
  <c r="I122" i="3"/>
  <c r="I148" i="3"/>
  <c r="I152" i="3"/>
  <c r="I104" i="3"/>
  <c r="I150" i="3"/>
  <c r="I123" i="3"/>
  <c r="I163" i="3"/>
  <c r="G185" i="3"/>
  <c r="G108" i="3"/>
  <c r="C4" i="16"/>
  <c r="C3" i="16" s="1"/>
  <c r="C7" i="16" s="1"/>
  <c r="B25" i="9" s="1"/>
  <c r="AI137" i="3"/>
  <c r="AJ137" i="3" s="1"/>
  <c r="AK137" i="3" s="1"/>
  <c r="AL137" i="3" s="1"/>
  <c r="F137" i="3" s="1"/>
  <c r="AI150" i="3"/>
  <c r="AJ150" i="3" s="1"/>
  <c r="AK150" i="3" s="1"/>
  <c r="AL150" i="3" s="1"/>
  <c r="F150" i="3" s="1"/>
  <c r="S37" i="23"/>
  <c r="T36" i="23"/>
  <c r="S34" i="24"/>
  <c r="T33" i="24"/>
  <c r="T12" i="24"/>
  <c r="S13" i="24"/>
  <c r="H38" i="23"/>
  <c r="I38" i="23" s="1"/>
  <c r="I13" i="23"/>
  <c r="S14" i="23"/>
  <c r="T14" i="23" s="1"/>
  <c r="H14" i="23"/>
  <c r="AI107" i="3"/>
  <c r="AJ107" i="3" s="1"/>
  <c r="AK107" i="3" s="1"/>
  <c r="AL107" i="3" s="1"/>
  <c r="F107" i="3" s="1"/>
  <c r="BS177" i="3"/>
  <c r="BT177" i="3" s="1"/>
  <c r="BU177" i="3" s="1"/>
  <c r="BV177" i="3" s="1"/>
  <c r="BS189" i="3"/>
  <c r="BT189" i="3" s="1"/>
  <c r="BU189" i="3" s="1"/>
  <c r="BV189" i="3" s="1"/>
  <c r="I131" i="3"/>
  <c r="BS157" i="3"/>
  <c r="BT157" i="3" s="1"/>
  <c r="BU157" i="3" s="1"/>
  <c r="BV157" i="3" s="1"/>
  <c r="BS105" i="3"/>
  <c r="BT105" i="3" s="1"/>
  <c r="BU105" i="3" s="1"/>
  <c r="BV105" i="3" s="1"/>
  <c r="BS128" i="3"/>
  <c r="BT128" i="3" s="1"/>
  <c r="BU128" i="3" s="1"/>
  <c r="BV128" i="3" s="1"/>
  <c r="BS137" i="3"/>
  <c r="BT137" i="3" s="1"/>
  <c r="BU137" i="3" s="1"/>
  <c r="BV137" i="3" s="1"/>
  <c r="AI105" i="3"/>
  <c r="AJ105" i="3" s="1"/>
  <c r="AK105" i="3" s="1"/>
  <c r="AL105" i="3" s="1"/>
  <c r="F105" i="3" s="1"/>
  <c r="BS168" i="3"/>
  <c r="BT168" i="3" s="1"/>
  <c r="BU168" i="3" s="1"/>
  <c r="BV168" i="3" s="1"/>
  <c r="BS152" i="3"/>
  <c r="BT152" i="3" s="1"/>
  <c r="BU152" i="3" s="1"/>
  <c r="BV152" i="3" s="1"/>
  <c r="BS171" i="3"/>
  <c r="BT171" i="3" s="1"/>
  <c r="BU171" i="3" s="1"/>
  <c r="BV171" i="3" s="1"/>
  <c r="AI171" i="3"/>
  <c r="AJ171" i="3" s="1"/>
  <c r="AK171" i="3" s="1"/>
  <c r="AL171" i="3" s="1"/>
  <c r="F171" i="3" s="1"/>
  <c r="AI160" i="3"/>
  <c r="AJ160" i="3" s="1"/>
  <c r="AK160" i="3" s="1"/>
  <c r="AL160" i="3" s="1"/>
  <c r="F160" i="3" s="1"/>
  <c r="AI151" i="3"/>
  <c r="AJ151" i="3" s="1"/>
  <c r="AK151" i="3" s="1"/>
  <c r="AL151" i="3" s="1"/>
  <c r="F151" i="3" s="1"/>
  <c r="BS117" i="3"/>
  <c r="BT117" i="3" s="1"/>
  <c r="BU117" i="3" s="1"/>
  <c r="BV117" i="3" s="1"/>
  <c r="BS163" i="3"/>
  <c r="BT163" i="3" s="1"/>
  <c r="BU163" i="3" s="1"/>
  <c r="BV163" i="3" s="1"/>
  <c r="BS129" i="3"/>
  <c r="BT129" i="3" s="1"/>
  <c r="BU129" i="3" s="1"/>
  <c r="BV129" i="3" s="1"/>
  <c r="BS150" i="3"/>
  <c r="BT150" i="3" s="1"/>
  <c r="BU150" i="3" s="1"/>
  <c r="BV150" i="3" s="1"/>
  <c r="AI161" i="3"/>
  <c r="AJ161" i="3" s="1"/>
  <c r="AK161" i="3" s="1"/>
  <c r="AL161" i="3" s="1"/>
  <c r="F161" i="3" s="1"/>
  <c r="AI130" i="3"/>
  <c r="AJ130" i="3" s="1"/>
  <c r="AK130" i="3" s="1"/>
  <c r="AL130" i="3" s="1"/>
  <c r="F130" i="3" s="1"/>
  <c r="AI110" i="3"/>
  <c r="AJ110" i="3" s="1"/>
  <c r="AK110" i="3" s="1"/>
  <c r="AL110" i="3" s="1"/>
  <c r="F110" i="3" s="1"/>
  <c r="BS100" i="3"/>
  <c r="BT100" i="3" s="1"/>
  <c r="BU100" i="3" s="1"/>
  <c r="BV100" i="3" s="1"/>
  <c r="BS133" i="3"/>
  <c r="BT133" i="3" s="1"/>
  <c r="BU133" i="3" s="1"/>
  <c r="BV133" i="3" s="1"/>
  <c r="BS143" i="3"/>
  <c r="BT143" i="3" s="1"/>
  <c r="BU143" i="3" s="1"/>
  <c r="BV143" i="3" s="1"/>
  <c r="BS190" i="3"/>
  <c r="BT190" i="3" s="1"/>
  <c r="BU190" i="3" s="1"/>
  <c r="BV190" i="3" s="1"/>
  <c r="BS166" i="3"/>
  <c r="BT166" i="3" s="1"/>
  <c r="BU166" i="3" s="1"/>
  <c r="BV166" i="3" s="1"/>
  <c r="AI128" i="3"/>
  <c r="AJ128" i="3" s="1"/>
  <c r="AK128" i="3" s="1"/>
  <c r="AL128" i="3" s="1"/>
  <c r="F128" i="3" s="1"/>
  <c r="AI106" i="3"/>
  <c r="AJ106" i="3" s="1"/>
  <c r="AK106" i="3" s="1"/>
  <c r="AL106" i="3" s="1"/>
  <c r="F106" i="3" s="1"/>
  <c r="AI178" i="3"/>
  <c r="AJ178" i="3" s="1"/>
  <c r="AK178" i="3" s="1"/>
  <c r="AL178" i="3" s="1"/>
  <c r="F178" i="3" s="1"/>
  <c r="BS169" i="3"/>
  <c r="BT169" i="3" s="1"/>
  <c r="BU169" i="3" s="1"/>
  <c r="BV169" i="3" s="1"/>
  <c r="BS158" i="3"/>
  <c r="BT158" i="3" s="1"/>
  <c r="BU158" i="3" s="1"/>
  <c r="BV158" i="3" s="1"/>
  <c r="BS124" i="3"/>
  <c r="BT124" i="3" s="1"/>
  <c r="BU124" i="3" s="1"/>
  <c r="BV124" i="3" s="1"/>
  <c r="BS153" i="3"/>
  <c r="BT153" i="3" s="1"/>
  <c r="BU153" i="3" s="1"/>
  <c r="BV153" i="3" s="1"/>
  <c r="BS136" i="3"/>
  <c r="BT136" i="3" s="1"/>
  <c r="BU136" i="3" s="1"/>
  <c r="BV136" i="3" s="1"/>
  <c r="G65" i="3"/>
  <c r="H65" i="3"/>
  <c r="K148" i="3" s="1"/>
  <c r="BS103" i="3"/>
  <c r="BT103" i="3" s="1"/>
  <c r="BU103" i="3" s="1"/>
  <c r="BV103" i="3" s="1"/>
  <c r="BS172" i="3"/>
  <c r="BT172" i="3" s="1"/>
  <c r="BU172" i="3" s="1"/>
  <c r="BV172" i="3" s="1"/>
  <c r="BS182" i="3"/>
  <c r="BT182" i="3" s="1"/>
  <c r="BU182" i="3" s="1"/>
  <c r="BV182" i="3" s="1"/>
  <c r="BS144" i="3"/>
  <c r="BT144" i="3" s="1"/>
  <c r="BU144" i="3" s="1"/>
  <c r="BV144" i="3" s="1"/>
  <c r="AI114" i="3"/>
  <c r="AJ114" i="3" s="1"/>
  <c r="AK114" i="3" s="1"/>
  <c r="AL114" i="3" s="1"/>
  <c r="F114" i="3" s="1"/>
  <c r="BS123" i="3"/>
  <c r="BT123" i="3" s="1"/>
  <c r="BU123" i="3" s="1"/>
  <c r="BV123" i="3" s="1"/>
  <c r="G163" i="3"/>
  <c r="BS173" i="3"/>
  <c r="BT173" i="3" s="1"/>
  <c r="BU173" i="3" s="1"/>
  <c r="BV173" i="3" s="1"/>
  <c r="BS176" i="3"/>
  <c r="BT176" i="3" s="1"/>
  <c r="BU176" i="3" s="1"/>
  <c r="BV176" i="3" s="1"/>
  <c r="BS179" i="3"/>
  <c r="BT179" i="3" s="1"/>
  <c r="BU179" i="3" s="1"/>
  <c r="BV179" i="3" s="1"/>
  <c r="I159" i="3"/>
  <c r="I116" i="3"/>
  <c r="I147" i="3"/>
  <c r="I188" i="3"/>
  <c r="I156" i="3"/>
  <c r="I113" i="3"/>
  <c r="AI185" i="3"/>
  <c r="AJ185" i="3" s="1"/>
  <c r="AK185" i="3" s="1"/>
  <c r="AL185" i="3" s="1"/>
  <c r="F185" i="3" s="1"/>
  <c r="E144" i="3"/>
  <c r="E124" i="3"/>
  <c r="AI153" i="3"/>
  <c r="AJ153" i="3" s="1"/>
  <c r="AK153" i="3" s="1"/>
  <c r="AL153" i="3" s="1"/>
  <c r="F153" i="3" s="1"/>
  <c r="BS115" i="3"/>
  <c r="BT115" i="3" s="1"/>
  <c r="BU115" i="3" s="1"/>
  <c r="BV115" i="3" s="1"/>
  <c r="AI132" i="3"/>
  <c r="AJ132" i="3" s="1"/>
  <c r="AK132" i="3" s="1"/>
  <c r="AL132" i="3" s="1"/>
  <c r="F132" i="3" s="1"/>
  <c r="E125" i="3"/>
  <c r="AI170" i="3"/>
  <c r="AJ170" i="3" s="1"/>
  <c r="AK170" i="3" s="1"/>
  <c r="AL170" i="3" s="1"/>
  <c r="F170" i="3" s="1"/>
  <c r="AI155" i="3"/>
  <c r="AJ155" i="3" s="1"/>
  <c r="AK155" i="3" s="1"/>
  <c r="AL155" i="3" s="1"/>
  <c r="F155" i="3" s="1"/>
  <c r="E109" i="3"/>
  <c r="E150" i="3"/>
  <c r="AI116" i="3"/>
  <c r="AJ116" i="3" s="1"/>
  <c r="AK116" i="3" s="1"/>
  <c r="AL116" i="3" s="1"/>
  <c r="F116" i="3" s="1"/>
  <c r="BS156" i="3"/>
  <c r="BT156" i="3" s="1"/>
  <c r="BU156" i="3" s="1"/>
  <c r="BV156" i="3" s="1"/>
  <c r="AI184" i="3"/>
  <c r="AJ184" i="3" s="1"/>
  <c r="AK184" i="3" s="1"/>
  <c r="AL184" i="3" s="1"/>
  <c r="F184" i="3" s="1"/>
  <c r="E171" i="3"/>
  <c r="BS181" i="3"/>
  <c r="BT181" i="3" s="1"/>
  <c r="BU181" i="3" s="1"/>
  <c r="BV181" i="3" s="1"/>
  <c r="BS167" i="3"/>
  <c r="BT167" i="3" s="1"/>
  <c r="BU167" i="3" s="1"/>
  <c r="BV167" i="3" s="1"/>
  <c r="BS106" i="3"/>
  <c r="BT106" i="3" s="1"/>
  <c r="BU106" i="3" s="1"/>
  <c r="BV106" i="3" s="1"/>
  <c r="E141" i="3"/>
  <c r="G177" i="3"/>
  <c r="G180" i="3"/>
  <c r="G162" i="3"/>
  <c r="G129" i="3"/>
  <c r="G118" i="3"/>
  <c r="G105" i="3"/>
  <c r="G161" i="3"/>
  <c r="I144" i="3"/>
  <c r="G136" i="3"/>
  <c r="G186" i="3"/>
  <c r="E148" i="3"/>
  <c r="E132" i="3"/>
  <c r="I141" i="3"/>
  <c r="I185" i="3"/>
  <c r="I180" i="3"/>
  <c r="I112" i="3"/>
  <c r="I172" i="3"/>
  <c r="I161" i="3"/>
  <c r="G137" i="3"/>
  <c r="G120" i="3"/>
  <c r="G155" i="3"/>
  <c r="AI176" i="3"/>
  <c r="AJ176" i="3" s="1"/>
  <c r="AK176" i="3" s="1"/>
  <c r="AL176" i="3" s="1"/>
  <c r="F176" i="3" s="1"/>
  <c r="BS162" i="3"/>
  <c r="BT162" i="3" s="1"/>
  <c r="BU162" i="3" s="1"/>
  <c r="BV162" i="3" s="1"/>
  <c r="AI179" i="3"/>
  <c r="AJ179" i="3" s="1"/>
  <c r="AK179" i="3" s="1"/>
  <c r="AL179" i="3" s="1"/>
  <c r="F179" i="3" s="1"/>
  <c r="AI115" i="3"/>
  <c r="AJ115" i="3" s="1"/>
  <c r="AK115" i="3" s="1"/>
  <c r="AL115" i="3" s="1"/>
  <c r="F115" i="3" s="1"/>
  <c r="E130" i="3"/>
  <c r="E153" i="3"/>
  <c r="I171" i="3"/>
  <c r="I139" i="3"/>
  <c r="I103" i="3"/>
  <c r="I149" i="3"/>
  <c r="AI156" i="3"/>
  <c r="AJ156" i="3" s="1"/>
  <c r="AK156" i="3" s="1"/>
  <c r="AL156" i="3" s="1"/>
  <c r="F156" i="3" s="1"/>
  <c r="BS149" i="3"/>
  <c r="BT149" i="3" s="1"/>
  <c r="BU149" i="3" s="1"/>
  <c r="BV149" i="3" s="1"/>
  <c r="BS125" i="3"/>
  <c r="BT125" i="3" s="1"/>
  <c r="BU125" i="3" s="1"/>
  <c r="BV125" i="3" s="1"/>
  <c r="AI139" i="3"/>
  <c r="AJ139" i="3" s="1"/>
  <c r="AK139" i="3" s="1"/>
  <c r="AL139" i="3" s="1"/>
  <c r="F139" i="3" s="1"/>
  <c r="E110" i="3"/>
  <c r="E174" i="3"/>
  <c r="AI136" i="3"/>
  <c r="AJ136" i="3" s="1"/>
  <c r="AK136" i="3" s="1"/>
  <c r="AL136" i="3" s="1"/>
  <c r="F136" i="3" s="1"/>
  <c r="BS138" i="3"/>
  <c r="BT138" i="3" s="1"/>
  <c r="BU138" i="3" s="1"/>
  <c r="BV138" i="3" s="1"/>
  <c r="BS146" i="3"/>
  <c r="BT146" i="3" s="1"/>
  <c r="BU146" i="3" s="1"/>
  <c r="BV146" i="3" s="1"/>
  <c r="AI162" i="3"/>
  <c r="AJ162" i="3" s="1"/>
  <c r="AK162" i="3" s="1"/>
  <c r="AL162" i="3" s="1"/>
  <c r="F162" i="3" s="1"/>
  <c r="E152" i="3"/>
  <c r="E113" i="3"/>
  <c r="G167" i="3"/>
  <c r="G146" i="3"/>
  <c r="I143" i="3"/>
  <c r="I119" i="3"/>
  <c r="I124" i="3"/>
  <c r="G150" i="3"/>
  <c r="G148" i="3"/>
  <c r="I106" i="3"/>
  <c r="G126" i="3"/>
  <c r="G123" i="3"/>
  <c r="E118" i="3"/>
  <c r="E135" i="3"/>
  <c r="I146" i="3"/>
  <c r="I134" i="3"/>
  <c r="I164" i="3"/>
  <c r="I186" i="3"/>
  <c r="I137" i="3"/>
  <c r="I178" i="3"/>
  <c r="I183" i="3"/>
  <c r="G153" i="3"/>
  <c r="G183" i="3"/>
  <c r="G101" i="3"/>
  <c r="G116" i="3"/>
  <c r="AI177" i="3"/>
  <c r="AJ177" i="3" s="1"/>
  <c r="AK177" i="3" s="1"/>
  <c r="AL177" i="3" s="1"/>
  <c r="F177" i="3" s="1"/>
  <c r="AI131" i="3"/>
  <c r="AJ131" i="3" s="1"/>
  <c r="AK131" i="3" s="1"/>
  <c r="AL131" i="3" s="1"/>
  <c r="F131" i="3" s="1"/>
  <c r="AI129" i="3"/>
  <c r="AJ129" i="3" s="1"/>
  <c r="AK129" i="3" s="1"/>
  <c r="AL129" i="3" s="1"/>
  <c r="F129" i="3" s="1"/>
  <c r="AI113" i="3"/>
  <c r="AJ113" i="3" s="1"/>
  <c r="AK113" i="3" s="1"/>
  <c r="AL113" i="3" s="1"/>
  <c r="F113" i="3" s="1"/>
  <c r="E160" i="3"/>
  <c r="E136" i="3"/>
  <c r="G188" i="3"/>
  <c r="G182" i="3"/>
  <c r="I132" i="3"/>
  <c r="I127" i="3"/>
  <c r="G174" i="3"/>
  <c r="G179" i="3"/>
  <c r="I138" i="3"/>
  <c r="G131" i="3"/>
  <c r="G145" i="3"/>
  <c r="I120" i="3"/>
  <c r="I121" i="3"/>
  <c r="I111" i="3"/>
  <c r="I187" i="3"/>
  <c r="I108" i="3"/>
  <c r="G135" i="3"/>
  <c r="G184" i="3"/>
  <c r="G165" i="3"/>
  <c r="D69" i="3"/>
  <c r="G115" i="3"/>
  <c r="AI111" i="3"/>
  <c r="AJ111" i="3" s="1"/>
  <c r="AK111" i="3" s="1"/>
  <c r="AL111" i="3" s="1"/>
  <c r="F111" i="3" s="1"/>
  <c r="AI154" i="3"/>
  <c r="AJ154" i="3" s="1"/>
  <c r="AK154" i="3" s="1"/>
  <c r="AL154" i="3" s="1"/>
  <c r="F154" i="3" s="1"/>
  <c r="E119" i="3"/>
  <c r="E162" i="3"/>
  <c r="I140" i="3"/>
  <c r="G151" i="3"/>
  <c r="I102" i="3"/>
  <c r="I155" i="3"/>
  <c r="I142" i="3"/>
  <c r="G166" i="3"/>
  <c r="G133" i="3"/>
  <c r="G189" i="3"/>
  <c r="G141" i="3"/>
  <c r="E186" i="3"/>
  <c r="E149" i="3"/>
  <c r="E133" i="3"/>
  <c r="I118" i="3"/>
  <c r="G171" i="3"/>
  <c r="I145" i="3"/>
  <c r="I133" i="3"/>
  <c r="G169" i="3"/>
  <c r="G112" i="3"/>
  <c r="G170" i="3"/>
  <c r="G149" i="3"/>
  <c r="G64" i="3"/>
  <c r="E170" i="3"/>
  <c r="E154" i="3"/>
  <c r="G154" i="3"/>
  <c r="G178" i="3"/>
  <c r="E165" i="3"/>
  <c r="E164" i="3"/>
  <c r="I170" i="3"/>
  <c r="I136" i="3"/>
  <c r="I135" i="3"/>
  <c r="I181" i="3"/>
  <c r="I107" i="3"/>
  <c r="I128" i="3"/>
  <c r="E147" i="3"/>
  <c r="E108" i="3"/>
  <c r="E175" i="3"/>
  <c r="I162" i="3"/>
  <c r="G122" i="3"/>
  <c r="G102" i="3"/>
  <c r="G103" i="3"/>
  <c r="G132" i="3"/>
  <c r="G172" i="3"/>
  <c r="I168" i="3"/>
  <c r="E180" i="3"/>
  <c r="E184" i="3"/>
  <c r="I101" i="3"/>
  <c r="I105" i="3"/>
  <c r="I177" i="3"/>
  <c r="I184" i="3"/>
  <c r="G181" i="3"/>
  <c r="G139" i="3"/>
  <c r="G176" i="3"/>
  <c r="G114" i="3"/>
  <c r="E131" i="3"/>
  <c r="E151" i="3"/>
  <c r="E140" i="3"/>
  <c r="E187" i="3"/>
  <c r="G156" i="3"/>
  <c r="G117" i="3"/>
  <c r="G134" i="3"/>
  <c r="G158" i="3"/>
  <c r="I179" i="3"/>
  <c r="I157" i="3"/>
  <c r="I125" i="3"/>
  <c r="G164" i="3"/>
  <c r="G175" i="3"/>
  <c r="G113" i="3"/>
  <c r="G119" i="3"/>
  <c r="E179" i="3"/>
  <c r="E182" i="3"/>
  <c r="E112" i="3"/>
  <c r="G106" i="3"/>
  <c r="G142" i="3"/>
  <c r="I175" i="3"/>
  <c r="I189" i="3"/>
  <c r="G143" i="3"/>
  <c r="G144" i="3"/>
  <c r="G157" i="3"/>
  <c r="I174" i="3"/>
  <c r="I173" i="3"/>
  <c r="I165" i="3"/>
  <c r="I166" i="3"/>
  <c r="I117" i="3"/>
  <c r="I154" i="3"/>
  <c r="I151" i="3"/>
  <c r="G187" i="3"/>
  <c r="G173" i="3"/>
  <c r="G168" i="3"/>
  <c r="G104" i="3"/>
  <c r="G121" i="3"/>
  <c r="E145" i="3"/>
  <c r="E121" i="3"/>
  <c r="E172" i="3"/>
  <c r="E155" i="3"/>
  <c r="G110" i="3"/>
  <c r="G111" i="3"/>
  <c r="G127" i="3"/>
  <c r="I126" i="3"/>
  <c r="I190" i="3"/>
  <c r="I158" i="3"/>
  <c r="I160" i="3"/>
  <c r="I114" i="3"/>
  <c r="G140" i="3"/>
  <c r="G160" i="3"/>
  <c r="G147" i="3"/>
  <c r="G124" i="3"/>
  <c r="G130" i="3"/>
  <c r="E167" i="3"/>
  <c r="E163" i="3"/>
  <c r="E158" i="3"/>
  <c r="E176" i="3"/>
  <c r="G128" i="3"/>
  <c r="G190" i="3"/>
  <c r="I109" i="3"/>
  <c r="I153" i="3"/>
  <c r="I169" i="3"/>
  <c r="I130" i="3"/>
  <c r="I129" i="3"/>
  <c r="I110" i="3"/>
  <c r="G152" i="3"/>
  <c r="G125" i="3"/>
  <c r="G138" i="3"/>
  <c r="G159" i="3"/>
  <c r="E188" i="3"/>
  <c r="E122" i="3"/>
  <c r="E181" i="3"/>
  <c r="E114" i="3"/>
  <c r="BS101" i="3"/>
  <c r="BT101" i="3" s="1"/>
  <c r="BU101" i="3" s="1"/>
  <c r="BV101" i="3" s="1"/>
  <c r="AI140" i="3"/>
  <c r="AJ140" i="3" s="1"/>
  <c r="AK140" i="3" s="1"/>
  <c r="AL140" i="3" s="1"/>
  <c r="F140" i="3" s="1"/>
  <c r="AI169" i="3"/>
  <c r="AJ169" i="3" s="1"/>
  <c r="AK169" i="3" s="1"/>
  <c r="AL169" i="3" s="1"/>
  <c r="F169" i="3" s="1"/>
  <c r="BS132" i="3"/>
  <c r="BT132" i="3" s="1"/>
  <c r="BU132" i="3" s="1"/>
  <c r="BV132" i="3" s="1"/>
  <c r="BS102" i="3"/>
  <c r="BT102" i="3" s="1"/>
  <c r="BU102" i="3" s="1"/>
  <c r="BV102" i="3" s="1"/>
  <c r="BS135" i="3"/>
  <c r="BT135" i="3" s="1"/>
  <c r="BU135" i="3" s="1"/>
  <c r="BV135" i="3" s="1"/>
  <c r="BS159" i="3"/>
  <c r="BT159" i="3" s="1"/>
  <c r="BU159" i="3" s="1"/>
  <c r="BV159" i="3" s="1"/>
  <c r="BS183" i="3"/>
  <c r="BT183" i="3" s="1"/>
  <c r="BU183" i="3" s="1"/>
  <c r="BV183" i="3" s="1"/>
  <c r="AI103" i="3"/>
  <c r="AJ103" i="3" s="1"/>
  <c r="AK103" i="3" s="1"/>
  <c r="AL103" i="3" s="1"/>
  <c r="F103" i="3" s="1"/>
  <c r="AI141" i="3"/>
  <c r="AJ141" i="3" s="1"/>
  <c r="AK141" i="3" s="1"/>
  <c r="AL141" i="3" s="1"/>
  <c r="F141" i="3" s="1"/>
  <c r="AI172" i="3"/>
  <c r="AJ172" i="3" s="1"/>
  <c r="AK172" i="3" s="1"/>
  <c r="AL172" i="3" s="1"/>
  <c r="F172" i="3" s="1"/>
  <c r="BS111" i="3"/>
  <c r="BT111" i="3" s="1"/>
  <c r="BU111" i="3" s="1"/>
  <c r="BV111" i="3" s="1"/>
  <c r="AI108" i="3"/>
  <c r="AJ108" i="3" s="1"/>
  <c r="AK108" i="3" s="1"/>
  <c r="AL108" i="3" s="1"/>
  <c r="F108" i="3" s="1"/>
  <c r="AI174" i="3"/>
  <c r="AJ174" i="3" s="1"/>
  <c r="AK174" i="3" s="1"/>
  <c r="AL174" i="3" s="1"/>
  <c r="F174" i="3" s="1"/>
  <c r="AI181" i="3"/>
  <c r="AJ181" i="3" s="1"/>
  <c r="AK181" i="3" s="1"/>
  <c r="AL181" i="3" s="1"/>
  <c r="F181" i="3" s="1"/>
  <c r="AI121" i="3"/>
  <c r="AJ121" i="3" s="1"/>
  <c r="AK121" i="3" s="1"/>
  <c r="AL121" i="3" s="1"/>
  <c r="F121" i="3" s="1"/>
  <c r="AI188" i="3"/>
  <c r="AJ188" i="3" s="1"/>
  <c r="AK188" i="3" s="1"/>
  <c r="AL188" i="3" s="1"/>
  <c r="F188" i="3" s="1"/>
  <c r="AI125" i="3"/>
  <c r="AJ125" i="3" s="1"/>
  <c r="AK125" i="3" s="1"/>
  <c r="AL125" i="3" s="1"/>
  <c r="F125" i="3" s="1"/>
  <c r="BS126" i="3"/>
  <c r="BT126" i="3" s="1"/>
  <c r="BU126" i="3" s="1"/>
  <c r="BV126" i="3" s="1"/>
  <c r="BS178" i="3"/>
  <c r="BT178" i="3" s="1"/>
  <c r="BU178" i="3" s="1"/>
  <c r="BV178" i="3" s="1"/>
  <c r="AI133" i="3"/>
  <c r="AJ133" i="3" s="1"/>
  <c r="AK133" i="3" s="1"/>
  <c r="AL133" i="3" s="1"/>
  <c r="F133" i="3" s="1"/>
  <c r="BS155" i="3"/>
  <c r="BT155" i="3" s="1"/>
  <c r="BU155" i="3" s="1"/>
  <c r="BV155" i="3" s="1"/>
  <c r="BS108" i="3"/>
  <c r="BT108" i="3" s="1"/>
  <c r="BU108" i="3" s="1"/>
  <c r="BV108" i="3" s="1"/>
  <c r="BS184" i="3"/>
  <c r="BT184" i="3" s="1"/>
  <c r="BU184" i="3" s="1"/>
  <c r="BV184" i="3" s="1"/>
  <c r="AI104" i="3"/>
  <c r="AJ104" i="3" s="1"/>
  <c r="AK104" i="3" s="1"/>
  <c r="AL104" i="3" s="1"/>
  <c r="F104" i="3" s="1"/>
  <c r="AI142" i="3"/>
  <c r="AJ142" i="3" s="1"/>
  <c r="AK142" i="3" s="1"/>
  <c r="AL142" i="3" s="1"/>
  <c r="F142" i="3" s="1"/>
  <c r="AI173" i="3"/>
  <c r="AJ173" i="3" s="1"/>
  <c r="AK173" i="3" s="1"/>
  <c r="AL173" i="3" s="1"/>
  <c r="F173" i="3" s="1"/>
  <c r="BS139" i="3"/>
  <c r="BT139" i="3" s="1"/>
  <c r="BU139" i="3" s="1"/>
  <c r="BV139" i="3" s="1"/>
  <c r="BS185" i="3"/>
  <c r="BT185" i="3" s="1"/>
  <c r="BU185" i="3" s="1"/>
  <c r="BV185" i="3" s="1"/>
  <c r="AI143" i="3"/>
  <c r="AJ143" i="3" s="1"/>
  <c r="AK143" i="3" s="1"/>
  <c r="AL143" i="3" s="1"/>
  <c r="F143" i="3" s="1"/>
  <c r="BS165" i="3"/>
  <c r="BT165" i="3" s="1"/>
  <c r="BU165" i="3" s="1"/>
  <c r="BV165" i="3" s="1"/>
  <c r="AI120" i="3"/>
  <c r="AJ120" i="3" s="1"/>
  <c r="AK120" i="3" s="1"/>
  <c r="AL120" i="3" s="1"/>
  <c r="F120" i="3" s="1"/>
  <c r="AI187" i="3"/>
  <c r="AJ187" i="3" s="1"/>
  <c r="AK187" i="3" s="1"/>
  <c r="AL187" i="3" s="1"/>
  <c r="F187" i="3" s="1"/>
  <c r="AI190" i="3"/>
  <c r="AJ190" i="3" s="1"/>
  <c r="AK190" i="3" s="1"/>
  <c r="AL190" i="3" s="1"/>
  <c r="F190" i="3" s="1"/>
  <c r="BS127" i="3"/>
  <c r="BT127" i="3" s="1"/>
  <c r="BU127" i="3" s="1"/>
  <c r="BV127" i="3" s="1"/>
  <c r="AI165" i="3"/>
  <c r="AJ165" i="3" s="1"/>
  <c r="AK165" i="3" s="1"/>
  <c r="AL165" i="3" s="1"/>
  <c r="F165" i="3" s="1"/>
  <c r="AI166" i="3"/>
  <c r="AJ166" i="3" s="1"/>
  <c r="AK166" i="3" s="1"/>
  <c r="AL166" i="3" s="1"/>
  <c r="F166" i="3" s="1"/>
  <c r="AI134" i="3"/>
  <c r="AJ134" i="3" s="1"/>
  <c r="AK134" i="3" s="1"/>
  <c r="AL134" i="3" s="1"/>
  <c r="F134" i="3" s="1"/>
  <c r="BS112" i="3"/>
  <c r="BT112" i="3" s="1"/>
  <c r="BU112" i="3" s="1"/>
  <c r="BV112" i="3" s="1"/>
  <c r="BS186" i="3"/>
  <c r="BT186" i="3" s="1"/>
  <c r="BU186" i="3" s="1"/>
  <c r="BV186" i="3" s="1"/>
  <c r="AI109" i="3"/>
  <c r="AJ109" i="3" s="1"/>
  <c r="AK109" i="3" s="1"/>
  <c r="AL109" i="3" s="1"/>
  <c r="F109" i="3" s="1"/>
  <c r="AI144" i="3"/>
  <c r="AJ144" i="3" s="1"/>
  <c r="AK144" i="3" s="1"/>
  <c r="AL144" i="3" s="1"/>
  <c r="F144" i="3" s="1"/>
  <c r="AI175" i="3"/>
  <c r="AJ175" i="3" s="1"/>
  <c r="AK175" i="3" s="1"/>
  <c r="AL175" i="3" s="1"/>
  <c r="F175" i="3" s="1"/>
  <c r="BS114" i="3"/>
  <c r="BT114" i="3" s="1"/>
  <c r="BU114" i="3" s="1"/>
  <c r="BV114" i="3" s="1"/>
  <c r="BS188" i="3"/>
  <c r="BT188" i="3" s="1"/>
  <c r="BU188" i="3" s="1"/>
  <c r="BV188" i="3" s="1"/>
  <c r="AI146" i="3"/>
  <c r="AJ146" i="3" s="1"/>
  <c r="AK146" i="3" s="1"/>
  <c r="AL146" i="3" s="1"/>
  <c r="F146" i="3" s="1"/>
  <c r="AI149" i="3"/>
  <c r="AJ149" i="3" s="1"/>
  <c r="AK149" i="3" s="1"/>
  <c r="AL149" i="3" s="1"/>
  <c r="F149" i="3" s="1"/>
  <c r="BS142" i="3"/>
  <c r="BT142" i="3" s="1"/>
  <c r="BU142" i="3" s="1"/>
  <c r="BV142" i="3" s="1"/>
  <c r="BS154" i="3"/>
  <c r="BT154" i="3" s="1"/>
  <c r="BU154" i="3" s="1"/>
  <c r="BV154" i="3" s="1"/>
  <c r="AI167" i="3"/>
  <c r="AJ167" i="3" s="1"/>
  <c r="AK167" i="3" s="1"/>
  <c r="AL167" i="3" s="1"/>
  <c r="F167" i="3" s="1"/>
  <c r="BS113" i="3"/>
  <c r="BT113" i="3" s="1"/>
  <c r="BU113" i="3" s="1"/>
  <c r="BV113" i="3" s="1"/>
  <c r="BS140" i="3"/>
  <c r="BT140" i="3" s="1"/>
  <c r="BU140" i="3" s="1"/>
  <c r="BV140" i="3" s="1"/>
  <c r="BS160" i="3"/>
  <c r="BT160" i="3" s="1"/>
  <c r="BU160" i="3" s="1"/>
  <c r="BV160" i="3" s="1"/>
  <c r="BS187" i="3"/>
  <c r="BT187" i="3" s="1"/>
  <c r="BU187" i="3" s="1"/>
  <c r="BV187" i="3" s="1"/>
  <c r="AI112" i="3"/>
  <c r="AJ112" i="3" s="1"/>
  <c r="AK112" i="3" s="1"/>
  <c r="AL112" i="3" s="1"/>
  <c r="F112" i="3" s="1"/>
  <c r="AI145" i="3"/>
  <c r="AJ145" i="3" s="1"/>
  <c r="AK145" i="3" s="1"/>
  <c r="AL145" i="3" s="1"/>
  <c r="F145" i="3" s="1"/>
  <c r="AI180" i="3"/>
  <c r="AJ180" i="3" s="1"/>
  <c r="AK180" i="3" s="1"/>
  <c r="AL180" i="3" s="1"/>
  <c r="F180" i="3" s="1"/>
  <c r="AI117" i="3"/>
  <c r="AJ117" i="3" s="1"/>
  <c r="AK117" i="3" s="1"/>
  <c r="AL117" i="3" s="1"/>
  <c r="F117" i="3" s="1"/>
  <c r="BS141" i="3"/>
  <c r="BT141" i="3" s="1"/>
  <c r="BU141" i="3" s="1"/>
  <c r="BV141" i="3" s="1"/>
  <c r="BS174" i="3"/>
  <c r="BT174" i="3" s="1"/>
  <c r="BU174" i="3" s="1"/>
  <c r="BV174" i="3" s="1"/>
  <c r="AI152" i="3"/>
  <c r="AJ152" i="3" s="1"/>
  <c r="AK152" i="3" s="1"/>
  <c r="AL152" i="3" s="1"/>
  <c r="F152" i="3" s="1"/>
  <c r="BS180" i="3"/>
  <c r="BT180" i="3" s="1"/>
  <c r="BU180" i="3" s="1"/>
  <c r="BV180" i="3" s="1"/>
  <c r="BS116" i="3"/>
  <c r="BT116" i="3" s="1"/>
  <c r="BU116" i="3" s="1"/>
  <c r="BV116" i="3" s="1"/>
  <c r="BS161" i="3"/>
  <c r="BT161" i="3" s="1"/>
  <c r="BU161" i="3" s="1"/>
  <c r="BV161" i="3" s="1"/>
  <c r="AI102" i="3"/>
  <c r="AJ102" i="3" s="1"/>
  <c r="AK102" i="3" s="1"/>
  <c r="AL102" i="3" s="1"/>
  <c r="F102" i="3" s="1"/>
  <c r="AI118" i="3"/>
  <c r="AJ118" i="3" s="1"/>
  <c r="AK118" i="3" s="1"/>
  <c r="AL118" i="3" s="1"/>
  <c r="F118" i="3" s="1"/>
  <c r="AI147" i="3"/>
  <c r="AJ147" i="3" s="1"/>
  <c r="AK147" i="3" s="1"/>
  <c r="AL147" i="3" s="1"/>
  <c r="F147" i="3" s="1"/>
  <c r="AI182" i="3"/>
  <c r="AJ182" i="3" s="1"/>
  <c r="AK182" i="3" s="1"/>
  <c r="AL182" i="3" s="1"/>
  <c r="F182" i="3" s="1"/>
  <c r="BS118" i="3"/>
  <c r="BT118" i="3" s="1"/>
  <c r="BU118" i="3" s="1"/>
  <c r="BV118" i="3" s="1"/>
  <c r="BS164" i="3"/>
  <c r="BT164" i="3" s="1"/>
  <c r="BU164" i="3" s="1"/>
  <c r="BV164" i="3" s="1"/>
  <c r="AI119" i="3"/>
  <c r="AJ119" i="3" s="1"/>
  <c r="AK119" i="3" s="1"/>
  <c r="AL119" i="3" s="1"/>
  <c r="F119" i="3" s="1"/>
  <c r="AI148" i="3"/>
  <c r="AJ148" i="3" s="1"/>
  <c r="AK148" i="3" s="1"/>
  <c r="AL148" i="3" s="1"/>
  <c r="F148" i="3" s="1"/>
  <c r="AI186" i="3"/>
  <c r="AJ186" i="3" s="1"/>
  <c r="AK186" i="3" s="1"/>
  <c r="AL186" i="3" s="1"/>
  <c r="F186" i="3" s="1"/>
  <c r="AI163" i="3"/>
  <c r="AJ163" i="3" s="1"/>
  <c r="AK163" i="3" s="1"/>
  <c r="AL163" i="3" s="1"/>
  <c r="F163" i="3" s="1"/>
  <c r="AI126" i="3"/>
  <c r="AJ126" i="3" s="1"/>
  <c r="AK126" i="3" s="1"/>
  <c r="AL126" i="3" s="1"/>
  <c r="F126" i="3" s="1"/>
  <c r="AI127" i="3"/>
  <c r="AJ127" i="3" s="1"/>
  <c r="AK127" i="3" s="1"/>
  <c r="AL127" i="3" s="1"/>
  <c r="F127" i="3" s="1"/>
  <c r="BS134" i="3"/>
  <c r="BT134" i="3" s="1"/>
  <c r="BU134" i="3" s="1"/>
  <c r="BV134" i="3" s="1"/>
  <c r="AI168" i="3"/>
  <c r="AJ168" i="3" s="1"/>
  <c r="AK168" i="3" s="1"/>
  <c r="AL168" i="3" s="1"/>
  <c r="F168" i="3" s="1"/>
  <c r="BS147" i="3"/>
  <c r="BT147" i="3" s="1"/>
  <c r="BU147" i="3" s="1"/>
  <c r="BV147" i="3" s="1"/>
  <c r="AI122" i="3"/>
  <c r="AJ122" i="3" s="1"/>
  <c r="AK122" i="3" s="1"/>
  <c r="AL122" i="3" s="1"/>
  <c r="F122" i="3" s="1"/>
  <c r="AI157" i="3"/>
  <c r="AJ157" i="3" s="1"/>
  <c r="AK157" i="3" s="1"/>
  <c r="AL157" i="3" s="1"/>
  <c r="F157" i="3" s="1"/>
  <c r="AI189" i="3"/>
  <c r="AJ189" i="3" s="1"/>
  <c r="AK189" i="3" s="1"/>
  <c r="AL189" i="3" s="1"/>
  <c r="F189" i="3" s="1"/>
  <c r="BS119" i="3"/>
  <c r="BT119" i="3" s="1"/>
  <c r="BU119" i="3" s="1"/>
  <c r="BV119" i="3" s="1"/>
  <c r="BS148" i="3"/>
  <c r="BT148" i="3" s="1"/>
  <c r="BU148" i="3" s="1"/>
  <c r="BV148" i="3" s="1"/>
  <c r="BS175" i="3"/>
  <c r="BT175" i="3" s="1"/>
  <c r="BU175" i="3" s="1"/>
  <c r="BV175" i="3" s="1"/>
  <c r="AI123" i="3"/>
  <c r="AJ123" i="3" s="1"/>
  <c r="AK123" i="3" s="1"/>
  <c r="AL123" i="3" s="1"/>
  <c r="F123" i="3" s="1"/>
  <c r="AI158" i="3"/>
  <c r="AJ158" i="3" s="1"/>
  <c r="AK158" i="3" s="1"/>
  <c r="AL158" i="3" s="1"/>
  <c r="F158" i="3" s="1"/>
  <c r="BS151" i="3"/>
  <c r="BT151" i="3" s="1"/>
  <c r="BU151" i="3" s="1"/>
  <c r="BV151" i="3" s="1"/>
  <c r="AI124" i="3"/>
  <c r="AJ124" i="3" s="1"/>
  <c r="AK124" i="3" s="1"/>
  <c r="AL124" i="3" s="1"/>
  <c r="F124" i="3" s="1"/>
  <c r="AI159" i="3"/>
  <c r="AJ159" i="3" s="1"/>
  <c r="AK159" i="3" s="1"/>
  <c r="AL159" i="3" s="1"/>
  <c r="F159" i="3" s="1"/>
  <c r="AI164" i="3"/>
  <c r="AJ164" i="3" s="1"/>
  <c r="AK164" i="3" s="1"/>
  <c r="AL164" i="3" s="1"/>
  <c r="F164" i="3" s="1"/>
  <c r="BS131" i="3"/>
  <c r="BT131" i="3" s="1"/>
  <c r="BU131" i="3" s="1"/>
  <c r="BV131" i="3" s="1"/>
  <c r="AI135" i="3"/>
  <c r="AJ135" i="3" s="1"/>
  <c r="AK135" i="3" s="1"/>
  <c r="AL135" i="3" s="1"/>
  <c r="F135" i="3" s="1"/>
  <c r="H182" i="3"/>
  <c r="H138" i="3"/>
  <c r="H158" i="3"/>
  <c r="H109" i="3"/>
  <c r="BS104" i="3"/>
  <c r="BT104" i="3" s="1"/>
  <c r="BU104" i="3" s="1"/>
  <c r="BV104" i="3" s="1"/>
  <c r="G109" i="3"/>
  <c r="AI183" i="3"/>
  <c r="AJ183" i="3" s="1"/>
  <c r="AK183" i="3" s="1"/>
  <c r="AL183" i="3" s="1"/>
  <c r="F183" i="3" s="1"/>
  <c r="E169" i="3"/>
  <c r="E126" i="3"/>
  <c r="E139" i="3"/>
  <c r="E156" i="3"/>
  <c r="H159" i="3"/>
  <c r="H177" i="3"/>
  <c r="H116" i="3"/>
  <c r="H157" i="3"/>
  <c r="BS110" i="3"/>
  <c r="BT110" i="3" s="1"/>
  <c r="BU110" i="3" s="1"/>
  <c r="BV110" i="3" s="1"/>
  <c r="AI100" i="3"/>
  <c r="AJ100" i="3" s="1"/>
  <c r="AK100" i="3" s="1"/>
  <c r="AL100" i="3" s="1"/>
  <c r="AI101" i="3"/>
  <c r="AJ101" i="3" s="1"/>
  <c r="AK101" i="3" s="1"/>
  <c r="AL101" i="3" s="1"/>
  <c r="F101" i="3" s="1"/>
  <c r="AI138" i="3"/>
  <c r="AJ138" i="3" s="1"/>
  <c r="AK138" i="3" s="1"/>
  <c r="AL138" i="3" s="1"/>
  <c r="F138" i="3" s="1"/>
  <c r="E190" i="3"/>
  <c r="E128" i="3"/>
  <c r="E111" i="3"/>
  <c r="BS121" i="3"/>
  <c r="BT121" i="3" s="1"/>
  <c r="BU121" i="3" s="1"/>
  <c r="BV121" i="3" s="1"/>
  <c r="H146" i="3"/>
  <c r="H102" i="3"/>
  <c r="H137" i="3"/>
  <c r="H147" i="3"/>
  <c r="H186" i="3"/>
  <c r="H141" i="3"/>
  <c r="H156" i="3"/>
  <c r="H117" i="3"/>
  <c r="H112" i="3"/>
  <c r="H128" i="3"/>
  <c r="H171" i="3"/>
  <c r="H124" i="3"/>
  <c r="H142" i="3"/>
  <c r="H123" i="3"/>
  <c r="H129" i="3"/>
  <c r="H101" i="3"/>
  <c r="H165" i="3"/>
  <c r="E69" i="3"/>
  <c r="H108" i="3"/>
  <c r="H176" i="3"/>
  <c r="H145" i="3"/>
  <c r="H190" i="3"/>
  <c r="H107" i="3"/>
  <c r="H184" i="3"/>
  <c r="H183" i="3"/>
  <c r="H169" i="3"/>
  <c r="H115" i="3"/>
  <c r="H170" i="3"/>
  <c r="H172" i="3"/>
  <c r="H187" i="3"/>
  <c r="H132" i="3"/>
  <c r="H168" i="3"/>
  <c r="H150" i="3"/>
  <c r="H162" i="3"/>
  <c r="H130" i="3"/>
  <c r="H189" i="3"/>
  <c r="H166" i="3"/>
  <c r="H151" i="3"/>
  <c r="H127" i="3"/>
  <c r="H105" i="3"/>
  <c r="H110" i="3"/>
  <c r="H118" i="3"/>
  <c r="H140" i="3"/>
  <c r="H119" i="3"/>
  <c r="H155" i="3"/>
  <c r="H104" i="3"/>
  <c r="H103" i="3"/>
  <c r="H153" i="3"/>
  <c r="H188" i="3"/>
  <c r="H106" i="3"/>
  <c r="H160" i="3"/>
  <c r="H181" i="3"/>
  <c r="H143" i="3"/>
  <c r="H167" i="3"/>
  <c r="H120" i="3"/>
  <c r="H114" i="3"/>
  <c r="H135" i="3"/>
  <c r="H178" i="3"/>
  <c r="H180" i="3"/>
  <c r="H144" i="3"/>
  <c r="H136" i="3"/>
  <c r="H175" i="3"/>
  <c r="H133" i="3"/>
  <c r="H164" i="3"/>
  <c r="H179" i="3"/>
  <c r="H122" i="3"/>
  <c r="H163" i="3"/>
  <c r="H121" i="3"/>
  <c r="H185" i="3"/>
  <c r="H174" i="3"/>
  <c r="H139" i="3"/>
  <c r="H173" i="3"/>
  <c r="H154" i="3"/>
  <c r="H161" i="3"/>
  <c r="H134" i="3"/>
  <c r="H126" i="3"/>
  <c r="H131" i="3"/>
  <c r="H125" i="3"/>
  <c r="H149" i="3"/>
  <c r="H113" i="3"/>
  <c r="H152" i="3"/>
  <c r="H148" i="3"/>
  <c r="H111" i="3"/>
  <c r="C31" i="31" l="1"/>
  <c r="C32" i="31"/>
  <c r="S4" i="24"/>
  <c r="T4" i="24" s="1"/>
  <c r="V4" i="24" s="1"/>
  <c r="W4" i="24" s="1"/>
  <c r="X4" i="24" s="1"/>
  <c r="Y4" i="24" s="1"/>
  <c r="I4" i="24"/>
  <c r="K4" i="24" s="1"/>
  <c r="L4" i="24" s="1"/>
  <c r="M4" i="24" s="1"/>
  <c r="N4" i="24" s="1"/>
  <c r="C35" i="31"/>
  <c r="C34" i="31"/>
  <c r="H5" i="24" s="1"/>
  <c r="C36" i="31"/>
  <c r="C37" i="31"/>
  <c r="J130" i="3"/>
  <c r="S38" i="23"/>
  <c r="T37" i="23"/>
  <c r="S35" i="24"/>
  <c r="T34" i="24"/>
  <c r="T13" i="24"/>
  <c r="S14" i="24"/>
  <c r="H39" i="23"/>
  <c r="I39" i="23" s="1"/>
  <c r="I14" i="23"/>
  <c r="S15" i="23"/>
  <c r="T15" i="23" s="1"/>
  <c r="H15" i="23"/>
  <c r="B27" i="15"/>
  <c r="B30" i="15" s="1"/>
  <c r="K109" i="3"/>
  <c r="K113" i="3"/>
  <c r="K107" i="3"/>
  <c r="K171" i="3"/>
  <c r="K174" i="3"/>
  <c r="K120" i="3"/>
  <c r="K187" i="3"/>
  <c r="K166" i="3"/>
  <c r="BU97" i="3"/>
  <c r="K134" i="3"/>
  <c r="K135" i="3"/>
  <c r="K181" i="3"/>
  <c r="K127" i="3"/>
  <c r="K102" i="3"/>
  <c r="K131" i="3"/>
  <c r="K133" i="3"/>
  <c r="K159" i="3"/>
  <c r="K180" i="3"/>
  <c r="K110" i="3"/>
  <c r="K137" i="3"/>
  <c r="K114" i="3"/>
  <c r="K116" i="3"/>
  <c r="K142" i="3"/>
  <c r="K124" i="3"/>
  <c r="K186" i="3"/>
  <c r="K165" i="3"/>
  <c r="K150" i="3"/>
  <c r="K121" i="3"/>
  <c r="K143" i="3"/>
  <c r="K125" i="3"/>
  <c r="K153" i="3"/>
  <c r="K138" i="3"/>
  <c r="K158" i="3"/>
  <c r="K175" i="3"/>
  <c r="K156" i="3"/>
  <c r="K147" i="3"/>
  <c r="K108" i="3"/>
  <c r="K172" i="3"/>
  <c r="K183" i="3"/>
  <c r="K104" i="3"/>
  <c r="K141" i="3"/>
  <c r="K117" i="3"/>
  <c r="K103" i="3"/>
  <c r="K129" i="3"/>
  <c r="K163" i="3"/>
  <c r="K157" i="3"/>
  <c r="K184" i="3"/>
  <c r="K101" i="3"/>
  <c r="K154" i="3"/>
  <c r="K128" i="3"/>
  <c r="K169" i="3"/>
  <c r="K168" i="3"/>
  <c r="K152" i="3"/>
  <c r="K145" i="3"/>
  <c r="K118" i="3"/>
  <c r="K190" i="3"/>
  <c r="K136" i="3"/>
  <c r="H69" i="3"/>
  <c r="K162" i="3"/>
  <c r="K185" i="3"/>
  <c r="K151" i="3"/>
  <c r="J126" i="3"/>
  <c r="K161" i="3"/>
  <c r="K179" i="3"/>
  <c r="K189" i="3"/>
  <c r="K146" i="3"/>
  <c r="K188" i="3"/>
  <c r="K106" i="3"/>
  <c r="K160" i="3"/>
  <c r="K122" i="3"/>
  <c r="K112" i="3"/>
  <c r="K144" i="3"/>
  <c r="K130" i="3"/>
  <c r="K178" i="3"/>
  <c r="K170" i="3"/>
  <c r="K126" i="3"/>
  <c r="K132" i="3"/>
  <c r="K111" i="3"/>
  <c r="K177" i="3"/>
  <c r="K149" i="3"/>
  <c r="K167" i="3"/>
  <c r="K173" i="3"/>
  <c r="K123" i="3"/>
  <c r="K105" i="3"/>
  <c r="K155" i="3"/>
  <c r="K140" i="3"/>
  <c r="K115" i="3"/>
  <c r="K139" i="3"/>
  <c r="K176" i="3"/>
  <c r="K119" i="3"/>
  <c r="K164" i="3"/>
  <c r="K182" i="3"/>
  <c r="J163" i="3"/>
  <c r="J145" i="3"/>
  <c r="J178" i="3"/>
  <c r="J180" i="3"/>
  <c r="J155" i="3"/>
  <c r="G69" i="3"/>
  <c r="J158" i="3"/>
  <c r="J172" i="3"/>
  <c r="J184" i="3"/>
  <c r="J175" i="3"/>
  <c r="J129" i="3"/>
  <c r="J179" i="3"/>
  <c r="J139" i="3"/>
  <c r="J142" i="3"/>
  <c r="J136" i="3"/>
  <c r="J162" i="3"/>
  <c r="J143" i="3"/>
  <c r="J189" i="3"/>
  <c r="J159" i="3"/>
  <c r="J188" i="3"/>
  <c r="J107" i="3"/>
  <c r="J183" i="3"/>
  <c r="J173" i="3"/>
  <c r="J101" i="3"/>
  <c r="J132" i="3"/>
  <c r="J148" i="3"/>
  <c r="J169" i="3"/>
  <c r="J105" i="3"/>
  <c r="J146" i="3"/>
  <c r="J186" i="3"/>
  <c r="J182" i="3"/>
  <c r="J125" i="3"/>
  <c r="J121" i="3"/>
  <c r="J177" i="3"/>
  <c r="J122" i="3"/>
  <c r="J117" i="3"/>
  <c r="J190" i="3"/>
  <c r="J114" i="3"/>
  <c r="J185" i="3"/>
  <c r="J187" i="3"/>
  <c r="J135" i="3"/>
  <c r="J153" i="3"/>
  <c r="J119" i="3"/>
  <c r="J149" i="3"/>
  <c r="J108" i="3"/>
  <c r="J133" i="3"/>
  <c r="J147" i="3"/>
  <c r="J111" i="3"/>
  <c r="J164" i="3"/>
  <c r="J138" i="3"/>
  <c r="J170" i="3"/>
  <c r="J128" i="3"/>
  <c r="J156" i="3"/>
  <c r="J131" i="3"/>
  <c r="J124" i="3"/>
  <c r="J150" i="3"/>
  <c r="J165" i="3"/>
  <c r="J157" i="3"/>
  <c r="J152" i="3"/>
  <c r="J104" i="3"/>
  <c r="J161" i="3"/>
  <c r="J141" i="3"/>
  <c r="J134" i="3"/>
  <c r="J140" i="3"/>
  <c r="J181" i="3"/>
  <c r="J109" i="3"/>
  <c r="J120" i="3"/>
  <c r="J103" i="3"/>
  <c r="J151" i="3"/>
  <c r="J106" i="3"/>
  <c r="J160" i="3"/>
  <c r="J154" i="3"/>
  <c r="J168" i="3"/>
  <c r="J137" i="3"/>
  <c r="J102" i="3"/>
  <c r="J127" i="3"/>
  <c r="J110" i="3"/>
  <c r="J115" i="3"/>
  <c r="J171" i="3"/>
  <c r="J118" i="3"/>
  <c r="J123" i="3"/>
  <c r="J167" i="3"/>
  <c r="J144" i="3"/>
  <c r="J174" i="3"/>
  <c r="J176" i="3"/>
  <c r="J166" i="3"/>
  <c r="J112" i="3"/>
  <c r="J113" i="3"/>
  <c r="J116" i="3"/>
  <c r="B45" i="31" l="1"/>
  <c r="B44" i="31"/>
  <c r="S5" i="24"/>
  <c r="T5" i="24" s="1"/>
  <c r="V5" i="24" s="1"/>
  <c r="I5" i="24"/>
  <c r="K5" i="24" s="1"/>
  <c r="S39" i="23"/>
  <c r="T38" i="23"/>
  <c r="S36" i="24"/>
  <c r="T35" i="24"/>
  <c r="T14" i="24"/>
  <c r="S15" i="24"/>
  <c r="H40" i="23"/>
  <c r="I40" i="23" s="1"/>
  <c r="I15" i="23"/>
  <c r="S16" i="23"/>
  <c r="T16" i="23" s="1"/>
  <c r="H16" i="23"/>
  <c r="D92" i="3"/>
  <c r="D94" i="3"/>
  <c r="D23" i="18" s="1"/>
  <c r="D7" i="17"/>
  <c r="D2" i="17"/>
  <c r="D6" i="17" s="1"/>
  <c r="D2" i="13"/>
  <c r="K6" i="24" l="1"/>
  <c r="L5" i="24"/>
  <c r="M5" i="24" s="1"/>
  <c r="N5" i="24" s="1"/>
  <c r="W5" i="24"/>
  <c r="X5" i="24" s="1"/>
  <c r="Y5" i="24" s="1"/>
  <c r="V6" i="24"/>
  <c r="S40" i="23"/>
  <c r="T39" i="23"/>
  <c r="S37" i="24"/>
  <c r="T36" i="24"/>
  <c r="T15" i="24"/>
  <c r="S16" i="24"/>
  <c r="H41" i="23"/>
  <c r="I41" i="23" s="1"/>
  <c r="I16" i="23"/>
  <c r="S17" i="23"/>
  <c r="T17" i="23" s="1"/>
  <c r="H17" i="23"/>
  <c r="B26" i="15"/>
  <c r="D93" i="3"/>
  <c r="B22" i="11"/>
  <c r="B23" i="11" s="1"/>
  <c r="B29" i="11" s="1"/>
  <c r="B30" i="11" s="1"/>
  <c r="B26" i="9"/>
  <c r="AQ95" i="3"/>
  <c r="D26" i="18" s="1"/>
  <c r="F6" i="15"/>
  <c r="D29" i="18"/>
  <c r="V7" i="24" l="1"/>
  <c r="W6" i="24"/>
  <c r="X6" i="24" s="1"/>
  <c r="Y6" i="24" s="1"/>
  <c r="L6" i="24"/>
  <c r="M6" i="24" s="1"/>
  <c r="N6" i="24" s="1"/>
  <c r="K7" i="24"/>
  <c r="S41" i="23"/>
  <c r="T40" i="23"/>
  <c r="S38" i="24"/>
  <c r="T37" i="24"/>
  <c r="T16" i="24"/>
  <c r="S17" i="24"/>
  <c r="H42" i="23"/>
  <c r="I42" i="23" s="1"/>
  <c r="I17" i="23"/>
  <c r="S18" i="23"/>
  <c r="T18" i="23" s="1"/>
  <c r="H18" i="23"/>
  <c r="B29" i="19"/>
  <c r="B30" i="19"/>
  <c r="D27" i="19"/>
  <c r="D26" i="15"/>
  <c r="B28" i="15"/>
  <c r="B29" i="15"/>
  <c r="D30" i="18"/>
  <c r="D31" i="18" s="1"/>
  <c r="F5" i="15"/>
  <c r="F5" i="19"/>
  <c r="C19" i="15"/>
  <c r="K8" i="24" l="1"/>
  <c r="K9" i="24" s="1"/>
  <c r="K10" i="24" s="1"/>
  <c r="L7" i="24"/>
  <c r="M7" i="24" s="1"/>
  <c r="N7" i="24" s="1"/>
  <c r="W7" i="24"/>
  <c r="X7" i="24" s="1"/>
  <c r="Y7" i="24" s="1"/>
  <c r="V8" i="24"/>
  <c r="S42" i="23"/>
  <c r="T41" i="23"/>
  <c r="S39" i="24"/>
  <c r="T38" i="24"/>
  <c r="T17" i="24"/>
  <c r="S18" i="24"/>
  <c r="H43" i="23"/>
  <c r="I43" i="23" s="1"/>
  <c r="I18" i="23"/>
  <c r="S19" i="23"/>
  <c r="T19" i="23" s="1"/>
  <c r="H19" i="23"/>
  <c r="C21" i="19"/>
  <c r="C27" i="15"/>
  <c r="D27" i="15" s="1"/>
  <c r="C25" i="15"/>
  <c r="D25" i="15" s="1"/>
  <c r="C20" i="15"/>
  <c r="W8" i="24" l="1"/>
  <c r="X8" i="24" s="1"/>
  <c r="Y8" i="24" s="1"/>
  <c r="V9" i="24"/>
  <c r="S43" i="23"/>
  <c r="T42" i="23"/>
  <c r="S40" i="24"/>
  <c r="T39" i="24"/>
  <c r="T18" i="24"/>
  <c r="S19" i="24"/>
  <c r="H44" i="23"/>
  <c r="I44" i="23" s="1"/>
  <c r="I19" i="23"/>
  <c r="D28" i="19"/>
  <c r="D26" i="19"/>
  <c r="S20" i="23"/>
  <c r="T20" i="23" s="1"/>
  <c r="H20" i="23"/>
  <c r="C30" i="15"/>
  <c r="C28" i="15"/>
  <c r="C29" i="15"/>
  <c r="W9" i="24" l="1"/>
  <c r="X9" i="24" s="1"/>
  <c r="Y9" i="24" s="1"/>
  <c r="V10" i="24"/>
  <c r="S44" i="23"/>
  <c r="T43" i="23"/>
  <c r="S41" i="24"/>
  <c r="T40" i="24"/>
  <c r="T19" i="24"/>
  <c r="S20" i="24"/>
  <c r="H45" i="23"/>
  <c r="I45" i="23" s="1"/>
  <c r="I20" i="23"/>
  <c r="S57" i="23"/>
  <c r="T57" i="23" s="1"/>
  <c r="K4" i="23"/>
  <c r="K5" i="23" s="1"/>
  <c r="L5" i="23" s="1"/>
  <c r="S4" i="23"/>
  <c r="T4" i="23" s="1"/>
  <c r="V4" i="23" s="1"/>
  <c r="C31" i="19"/>
  <c r="C29" i="19"/>
  <c r="C30" i="19"/>
  <c r="S21" i="23"/>
  <c r="T21" i="23" s="1"/>
  <c r="H21" i="23"/>
  <c r="B33" i="15"/>
  <c r="B34" i="15"/>
  <c r="W10" i="24" l="1"/>
  <c r="X10" i="24" s="1"/>
  <c r="Y10" i="24" s="1"/>
  <c r="V11" i="24"/>
  <c r="S45" i="23"/>
  <c r="T44" i="23"/>
  <c r="S42" i="24"/>
  <c r="T41" i="24"/>
  <c r="T20" i="24"/>
  <c r="S21" i="24"/>
  <c r="M5" i="23"/>
  <c r="N5" i="23" s="1"/>
  <c r="K6" i="23"/>
  <c r="V5" i="23"/>
  <c r="W4" i="23"/>
  <c r="X4" i="23" s="1"/>
  <c r="Y4" i="23" s="1"/>
  <c r="H46" i="23"/>
  <c r="I46" i="23" s="1"/>
  <c r="I21" i="23"/>
  <c r="L4" i="23"/>
  <c r="M4" i="23" s="1"/>
  <c r="N4" i="23" s="1"/>
  <c r="S22" i="23"/>
  <c r="T22" i="23" s="1"/>
  <c r="H22" i="23"/>
  <c r="D19" i="12"/>
  <c r="D21" i="12" s="1"/>
  <c r="D25" i="12" s="1"/>
  <c r="D26" i="12" s="1"/>
  <c r="D4" i="12"/>
  <c r="D6" i="12" s="1"/>
  <c r="D10" i="12" s="1"/>
  <c r="D11" i="12" s="1"/>
  <c r="W11" i="24" l="1"/>
  <c r="X11" i="24" s="1"/>
  <c r="Y11" i="24" s="1"/>
  <c r="V12" i="24"/>
  <c r="S46" i="23"/>
  <c r="T45" i="23"/>
  <c r="T42" i="24"/>
  <c r="S43" i="24"/>
  <c r="T21" i="24"/>
  <c r="S22" i="24"/>
  <c r="K7" i="23"/>
  <c r="L6" i="23"/>
  <c r="M6" i="23" s="1"/>
  <c r="N6" i="23" s="1"/>
  <c r="V6" i="23"/>
  <c r="W5" i="23"/>
  <c r="X5" i="23" s="1"/>
  <c r="Y5" i="23" s="1"/>
  <c r="H47" i="23"/>
  <c r="I47" i="23" s="1"/>
  <c r="I22" i="23"/>
  <c r="S23" i="23"/>
  <c r="T23" i="23" s="1"/>
  <c r="H23" i="23"/>
  <c r="D12" i="12"/>
  <c r="D13" i="12"/>
  <c r="D28" i="12"/>
  <c r="D27" i="12"/>
  <c r="V13" i="24" l="1"/>
  <c r="W12" i="24"/>
  <c r="X12" i="24" s="1"/>
  <c r="Y12" i="24" s="1"/>
  <c r="S47" i="23"/>
  <c r="T46" i="23"/>
  <c r="S44" i="24"/>
  <c r="T43" i="24"/>
  <c r="T22" i="24"/>
  <c r="S23" i="24"/>
  <c r="L7" i="23"/>
  <c r="M7" i="23" s="1"/>
  <c r="N7" i="23" s="1"/>
  <c r="V7" i="23"/>
  <c r="W6" i="23"/>
  <c r="X6" i="23" s="1"/>
  <c r="Y6" i="23" s="1"/>
  <c r="H48" i="23"/>
  <c r="I48" i="23" s="1"/>
  <c r="I23" i="23"/>
  <c r="S24" i="23"/>
  <c r="T24" i="23" s="1"/>
  <c r="H24" i="23"/>
  <c r="V14" i="24" l="1"/>
  <c r="W13" i="24"/>
  <c r="X13" i="24" s="1"/>
  <c r="Y13" i="24" s="1"/>
  <c r="S48" i="23"/>
  <c r="T47" i="23"/>
  <c r="S45" i="24"/>
  <c r="T44" i="24"/>
  <c r="T23" i="24"/>
  <c r="S24" i="24"/>
  <c r="K9" i="23"/>
  <c r="L8" i="23"/>
  <c r="M8" i="23" s="1"/>
  <c r="N8" i="23" s="1"/>
  <c r="W7" i="23"/>
  <c r="X7" i="23" s="1"/>
  <c r="Y7" i="23" s="1"/>
  <c r="V8" i="23"/>
  <c r="H49" i="23"/>
  <c r="I49" i="23" s="1"/>
  <c r="I24" i="23"/>
  <c r="S25" i="23"/>
  <c r="T25" i="23" s="1"/>
  <c r="H25" i="23"/>
  <c r="V15" i="24" l="1"/>
  <c r="W14" i="24"/>
  <c r="X14" i="24" s="1"/>
  <c r="Y14" i="24" s="1"/>
  <c r="S49" i="23"/>
  <c r="T48" i="23"/>
  <c r="S46" i="24"/>
  <c r="T45" i="24"/>
  <c r="T24" i="24"/>
  <c r="S25" i="24"/>
  <c r="K10" i="23"/>
  <c r="L9" i="23"/>
  <c r="M9" i="23" s="1"/>
  <c r="N9" i="23" s="1"/>
  <c r="W8" i="23"/>
  <c r="X8" i="23" s="1"/>
  <c r="Y8" i="23" s="1"/>
  <c r="V9" i="23"/>
  <c r="H50" i="23"/>
  <c r="I50" i="23" s="1"/>
  <c r="I25" i="23"/>
  <c r="S26" i="23"/>
  <c r="T26" i="23" s="1"/>
  <c r="H26" i="23"/>
  <c r="W15" i="24" l="1"/>
  <c r="X15" i="24" s="1"/>
  <c r="Y15" i="24" s="1"/>
  <c r="V16" i="24"/>
  <c r="S50" i="23"/>
  <c r="T49" i="23"/>
  <c r="S47" i="24"/>
  <c r="T46" i="24"/>
  <c r="T25" i="24"/>
  <c r="S26" i="24"/>
  <c r="K11" i="23"/>
  <c r="L10" i="23"/>
  <c r="M10" i="23" s="1"/>
  <c r="N10" i="23" s="1"/>
  <c r="W9" i="23"/>
  <c r="X9" i="23" s="1"/>
  <c r="Y9" i="23" s="1"/>
  <c r="V10" i="23"/>
  <c r="H51" i="23"/>
  <c r="I51" i="23" s="1"/>
  <c r="I26" i="23"/>
  <c r="S27" i="23"/>
  <c r="T27" i="23" s="1"/>
  <c r="H27" i="23"/>
  <c r="W16" i="24" l="1"/>
  <c r="X16" i="24" s="1"/>
  <c r="Y16" i="24" s="1"/>
  <c r="V17" i="24"/>
  <c r="S51" i="23"/>
  <c r="T50" i="23"/>
  <c r="S48" i="24"/>
  <c r="T47" i="24"/>
  <c r="T26" i="24"/>
  <c r="S27" i="24"/>
  <c r="K12" i="23"/>
  <c r="L11" i="23"/>
  <c r="M11" i="23" s="1"/>
  <c r="N11" i="23" s="1"/>
  <c r="W10" i="23"/>
  <c r="X10" i="23" s="1"/>
  <c r="Y10" i="23" s="1"/>
  <c r="V11" i="23"/>
  <c r="H52" i="23"/>
  <c r="I52" i="23" s="1"/>
  <c r="I27" i="23"/>
  <c r="S28" i="23"/>
  <c r="T28" i="23" s="1"/>
  <c r="H28" i="23"/>
  <c r="W17" i="24" l="1"/>
  <c r="X17" i="24" s="1"/>
  <c r="Y17" i="24" s="1"/>
  <c r="V18" i="24"/>
  <c r="S52" i="23"/>
  <c r="T51" i="23"/>
  <c r="T48" i="24"/>
  <c r="S49" i="24"/>
  <c r="T27" i="24"/>
  <c r="S28" i="24"/>
  <c r="K13" i="23"/>
  <c r="L12" i="23"/>
  <c r="M12" i="23" s="1"/>
  <c r="N12" i="23" s="1"/>
  <c r="V12" i="23"/>
  <c r="W11" i="23"/>
  <c r="X11" i="23" s="1"/>
  <c r="Y11" i="23" s="1"/>
  <c r="H53" i="23"/>
  <c r="I53" i="23" s="1"/>
  <c r="I28" i="23"/>
  <c r="S29" i="23"/>
  <c r="T29" i="23" s="1"/>
  <c r="H29" i="23"/>
  <c r="V19" i="24" l="1"/>
  <c r="W18" i="24"/>
  <c r="X18" i="24" s="1"/>
  <c r="Y18" i="24" s="1"/>
  <c r="S53" i="23"/>
  <c r="T52" i="23"/>
  <c r="T49" i="24"/>
  <c r="S50" i="24"/>
  <c r="T28" i="24"/>
  <c r="S29" i="24"/>
  <c r="T29" i="24" s="1"/>
  <c r="K14" i="23"/>
  <c r="L13" i="23"/>
  <c r="M13" i="23" s="1"/>
  <c r="N13" i="23" s="1"/>
  <c r="V13" i="23"/>
  <c r="W12" i="23"/>
  <c r="X12" i="23" s="1"/>
  <c r="Y12" i="23" s="1"/>
  <c r="H54" i="23"/>
  <c r="I54" i="23" s="1"/>
  <c r="I29" i="23"/>
  <c r="S30" i="23"/>
  <c r="T30" i="23" s="1"/>
  <c r="H30" i="23"/>
  <c r="W19" i="24" l="1"/>
  <c r="X19" i="24" s="1"/>
  <c r="Y19" i="24" s="1"/>
  <c r="V20" i="24"/>
  <c r="S54" i="23"/>
  <c r="T53" i="23"/>
  <c r="T50" i="24"/>
  <c r="S51" i="24"/>
  <c r="T51" i="24" s="1"/>
  <c r="K15" i="23"/>
  <c r="L14" i="23"/>
  <c r="M14" i="23" s="1"/>
  <c r="N14" i="23" s="1"/>
  <c r="V14" i="23"/>
  <c r="W13" i="23"/>
  <c r="X13" i="23" s="1"/>
  <c r="Y13" i="23" s="1"/>
  <c r="H55" i="23"/>
  <c r="I55" i="23" s="1"/>
  <c r="I30" i="23"/>
  <c r="S31" i="23"/>
  <c r="T31" i="23" s="1"/>
  <c r="H31" i="23"/>
  <c r="I31" i="23" s="1"/>
  <c r="W20" i="24" l="1"/>
  <c r="X20" i="24" s="1"/>
  <c r="Y20" i="24" s="1"/>
  <c r="V21" i="24"/>
  <c r="S55" i="23"/>
  <c r="T54" i="23"/>
  <c r="K16" i="23"/>
  <c r="L15" i="23"/>
  <c r="M15" i="23" s="1"/>
  <c r="N15" i="23" s="1"/>
  <c r="V15" i="23"/>
  <c r="W14" i="23"/>
  <c r="X14" i="23" s="1"/>
  <c r="Y14" i="23" s="1"/>
  <c r="H56" i="23"/>
  <c r="I56" i="23" s="1"/>
  <c r="W21" i="24" l="1"/>
  <c r="X21" i="24" s="1"/>
  <c r="Y21" i="24" s="1"/>
  <c r="V22" i="24"/>
  <c r="S56" i="23"/>
  <c r="T56" i="23" s="1"/>
  <c r="T55" i="23"/>
  <c r="K17" i="23"/>
  <c r="L16" i="23"/>
  <c r="M16" i="23" s="1"/>
  <c r="N16" i="23" s="1"/>
  <c r="V16" i="23"/>
  <c r="W15" i="23"/>
  <c r="X15" i="23" s="1"/>
  <c r="Y15" i="23" s="1"/>
  <c r="W22" i="24" l="1"/>
  <c r="X22" i="24" s="1"/>
  <c r="Y22" i="24" s="1"/>
  <c r="V23" i="24"/>
  <c r="K18" i="23"/>
  <c r="L17" i="23"/>
  <c r="M17" i="23" s="1"/>
  <c r="N17" i="23" s="1"/>
  <c r="W16" i="23"/>
  <c r="X16" i="23" s="1"/>
  <c r="Y16" i="23" s="1"/>
  <c r="V17" i="23"/>
  <c r="W23" i="24" l="1"/>
  <c r="X23" i="24" s="1"/>
  <c r="Y23" i="24" s="1"/>
  <c r="V24" i="24"/>
  <c r="K19" i="23"/>
  <c r="L18" i="23"/>
  <c r="M18" i="23" s="1"/>
  <c r="N18" i="23" s="1"/>
  <c r="W17" i="23"/>
  <c r="X17" i="23" s="1"/>
  <c r="Y17" i="23" s="1"/>
  <c r="V18" i="23"/>
  <c r="W24" i="24" l="1"/>
  <c r="X24" i="24" s="1"/>
  <c r="Y24" i="24" s="1"/>
  <c r="V25" i="24"/>
  <c r="K20" i="23"/>
  <c r="L19" i="23"/>
  <c r="M19" i="23" s="1"/>
  <c r="N19" i="23" s="1"/>
  <c r="V19" i="23"/>
  <c r="W18" i="23"/>
  <c r="X18" i="23" s="1"/>
  <c r="Y18" i="23" s="1"/>
  <c r="W25" i="24" l="1"/>
  <c r="X25" i="24" s="1"/>
  <c r="Y25" i="24" s="1"/>
  <c r="V26" i="24"/>
  <c r="K21" i="23"/>
  <c r="L20" i="23"/>
  <c r="M20" i="23" s="1"/>
  <c r="N20" i="23" s="1"/>
  <c r="W19" i="23"/>
  <c r="X19" i="23" s="1"/>
  <c r="Y19" i="23" s="1"/>
  <c r="V20" i="23"/>
  <c r="W26" i="24" l="1"/>
  <c r="X26" i="24" s="1"/>
  <c r="Y26" i="24" s="1"/>
  <c r="V27" i="24"/>
  <c r="L21" i="23"/>
  <c r="M21" i="23" s="1"/>
  <c r="N21" i="23" s="1"/>
  <c r="K22" i="23"/>
  <c r="W20" i="23"/>
  <c r="X20" i="23" s="1"/>
  <c r="Y20" i="23" s="1"/>
  <c r="V21" i="23"/>
  <c r="W27" i="24" l="1"/>
  <c r="X27" i="24" s="1"/>
  <c r="Y27" i="24" s="1"/>
  <c r="V28" i="24"/>
  <c r="K23" i="23"/>
  <c r="L22" i="23"/>
  <c r="M22" i="23" s="1"/>
  <c r="N22" i="23" s="1"/>
  <c r="V22" i="23"/>
  <c r="W21" i="23"/>
  <c r="X21" i="23" s="1"/>
  <c r="Y21" i="23" s="1"/>
  <c r="V29" i="24" l="1"/>
  <c r="W28" i="24"/>
  <c r="X28" i="24" s="1"/>
  <c r="Y28" i="24" s="1"/>
  <c r="K24" i="23"/>
  <c r="L23" i="23"/>
  <c r="M23" i="23" s="1"/>
  <c r="N23" i="23" s="1"/>
  <c r="W22" i="23"/>
  <c r="X22" i="23" s="1"/>
  <c r="Y22" i="23" s="1"/>
  <c r="V23" i="23"/>
  <c r="V30" i="24" l="1"/>
  <c r="W29" i="24"/>
  <c r="X29" i="24" s="1"/>
  <c r="Y29" i="24" s="1"/>
  <c r="L24" i="23"/>
  <c r="M24" i="23" s="1"/>
  <c r="N24" i="23" s="1"/>
  <c r="K25" i="23"/>
  <c r="W23" i="23"/>
  <c r="X23" i="23" s="1"/>
  <c r="Y23" i="23" s="1"/>
  <c r="V24" i="23"/>
  <c r="W30" i="24" l="1"/>
  <c r="X30" i="24" s="1"/>
  <c r="Y30" i="24" s="1"/>
  <c r="V31" i="24"/>
  <c r="K26" i="23"/>
  <c r="L25" i="23"/>
  <c r="M25" i="23" s="1"/>
  <c r="N25" i="23" s="1"/>
  <c r="V25" i="23"/>
  <c r="W24" i="23"/>
  <c r="X24" i="23" s="1"/>
  <c r="Y24" i="23" s="1"/>
  <c r="W31" i="24" l="1"/>
  <c r="X31" i="24" s="1"/>
  <c r="Y31" i="24" s="1"/>
  <c r="V32" i="24"/>
  <c r="K27" i="23"/>
  <c r="L26" i="23"/>
  <c r="M26" i="23" s="1"/>
  <c r="N26" i="23" s="1"/>
  <c r="V26" i="23"/>
  <c r="W25" i="23"/>
  <c r="X25" i="23" s="1"/>
  <c r="Y25" i="23" s="1"/>
  <c r="W32" i="24" l="1"/>
  <c r="X32" i="24" s="1"/>
  <c r="Y32" i="24" s="1"/>
  <c r="V33" i="24"/>
  <c r="K28" i="23"/>
  <c r="L27" i="23"/>
  <c r="M27" i="23" s="1"/>
  <c r="N27" i="23" s="1"/>
  <c r="V27" i="23"/>
  <c r="W26" i="23"/>
  <c r="X26" i="23" s="1"/>
  <c r="Y26" i="23" s="1"/>
  <c r="W33" i="24" l="1"/>
  <c r="X33" i="24" s="1"/>
  <c r="Y33" i="24" s="1"/>
  <c r="V34" i="24"/>
  <c r="K29" i="23"/>
  <c r="L28" i="23"/>
  <c r="M28" i="23" s="1"/>
  <c r="N28" i="23" s="1"/>
  <c r="V28" i="23"/>
  <c r="W27" i="23"/>
  <c r="X27" i="23" s="1"/>
  <c r="Y27" i="23" s="1"/>
  <c r="W34" i="24" l="1"/>
  <c r="X34" i="24" s="1"/>
  <c r="Y34" i="24" s="1"/>
  <c r="V35" i="24"/>
  <c r="K30" i="23"/>
  <c r="L29" i="23"/>
  <c r="M29" i="23" s="1"/>
  <c r="N29" i="23" s="1"/>
  <c r="V29" i="23"/>
  <c r="W28" i="23"/>
  <c r="X28" i="23" s="1"/>
  <c r="Y28" i="23" s="1"/>
  <c r="W35" i="24" l="1"/>
  <c r="X35" i="24" s="1"/>
  <c r="Y35" i="24" s="1"/>
  <c r="V36" i="24"/>
  <c r="K31" i="23"/>
  <c r="L30" i="23"/>
  <c r="M30" i="23" s="1"/>
  <c r="N30" i="23" s="1"/>
  <c r="V30" i="23"/>
  <c r="W29" i="23"/>
  <c r="X29" i="23" s="1"/>
  <c r="Y29" i="23" s="1"/>
  <c r="W36" i="24" l="1"/>
  <c r="X36" i="24" s="1"/>
  <c r="Y36" i="24" s="1"/>
  <c r="V37" i="24"/>
  <c r="K32" i="23"/>
  <c r="L31" i="23"/>
  <c r="M31" i="23" s="1"/>
  <c r="N31" i="23" s="1"/>
  <c r="V31" i="23"/>
  <c r="W30" i="23"/>
  <c r="X30" i="23" s="1"/>
  <c r="Y30" i="23" s="1"/>
  <c r="W37" i="24" l="1"/>
  <c r="X37" i="24" s="1"/>
  <c r="Y37" i="24" s="1"/>
  <c r="V38" i="24"/>
  <c r="K33" i="23"/>
  <c r="L32" i="23"/>
  <c r="M32" i="23" s="1"/>
  <c r="N32" i="23" s="1"/>
  <c r="V32" i="23"/>
  <c r="W31" i="23"/>
  <c r="X31" i="23" s="1"/>
  <c r="Y31" i="23" s="1"/>
  <c r="W38" i="24" l="1"/>
  <c r="X38" i="24" s="1"/>
  <c r="Y38" i="24" s="1"/>
  <c r="V39" i="24"/>
  <c r="L33" i="23"/>
  <c r="M33" i="23" s="1"/>
  <c r="N33" i="23" s="1"/>
  <c r="K34" i="23"/>
  <c r="V33" i="23"/>
  <c r="W32" i="23"/>
  <c r="X32" i="23" s="1"/>
  <c r="Y32" i="23" s="1"/>
  <c r="W39" i="24" l="1"/>
  <c r="X39" i="24" s="1"/>
  <c r="Y39" i="24" s="1"/>
  <c r="V40" i="24"/>
  <c r="L34" i="23"/>
  <c r="M34" i="23" s="1"/>
  <c r="N34" i="23" s="1"/>
  <c r="K35" i="23"/>
  <c r="V34" i="23"/>
  <c r="W33" i="23"/>
  <c r="X33" i="23" s="1"/>
  <c r="Y33" i="23" s="1"/>
  <c r="W40" i="24" l="1"/>
  <c r="X40" i="24" s="1"/>
  <c r="Y40" i="24" s="1"/>
  <c r="V41" i="24"/>
  <c r="K36" i="23"/>
  <c r="L35" i="23"/>
  <c r="M35" i="23" s="1"/>
  <c r="N35" i="23" s="1"/>
  <c r="V35" i="23"/>
  <c r="W34" i="23"/>
  <c r="X34" i="23" s="1"/>
  <c r="Y34" i="23" s="1"/>
  <c r="W41" i="24" l="1"/>
  <c r="X41" i="24" s="1"/>
  <c r="Y41" i="24" s="1"/>
  <c r="V42" i="24"/>
  <c r="K37" i="23"/>
  <c r="L36" i="23"/>
  <c r="M36" i="23" s="1"/>
  <c r="N36" i="23" s="1"/>
  <c r="V36" i="23"/>
  <c r="W35" i="23"/>
  <c r="X35" i="23" s="1"/>
  <c r="Y35" i="23" s="1"/>
  <c r="W42" i="24" l="1"/>
  <c r="X42" i="24" s="1"/>
  <c r="Y42" i="24" s="1"/>
  <c r="V43" i="24"/>
  <c r="K38" i="23"/>
  <c r="L37" i="23"/>
  <c r="M37" i="23" s="1"/>
  <c r="N37" i="23" s="1"/>
  <c r="W36" i="23"/>
  <c r="X36" i="23" s="1"/>
  <c r="Y36" i="23" s="1"/>
  <c r="V37" i="23"/>
  <c r="W43" i="24" l="1"/>
  <c r="X43" i="24" s="1"/>
  <c r="Y43" i="24" s="1"/>
  <c r="V44" i="24"/>
  <c r="L38" i="23"/>
  <c r="M38" i="23" s="1"/>
  <c r="N38" i="23" s="1"/>
  <c r="K39" i="23"/>
  <c r="V38" i="23"/>
  <c r="W37" i="23"/>
  <c r="X37" i="23" s="1"/>
  <c r="Y37" i="23" s="1"/>
  <c r="V45" i="24" l="1"/>
  <c r="W44" i="24"/>
  <c r="X44" i="24" s="1"/>
  <c r="Y44" i="24" s="1"/>
  <c r="L39" i="23"/>
  <c r="M39" i="23" s="1"/>
  <c r="N39" i="23" s="1"/>
  <c r="K40" i="23"/>
  <c r="V39" i="23"/>
  <c r="W38" i="23"/>
  <c r="X38" i="23" s="1"/>
  <c r="Y38" i="23" s="1"/>
  <c r="V46" i="24" l="1"/>
  <c r="W45" i="24"/>
  <c r="X45" i="24" s="1"/>
  <c r="Y45" i="24" s="1"/>
  <c r="K41" i="23"/>
  <c r="L40" i="23"/>
  <c r="M40" i="23" s="1"/>
  <c r="N40" i="23" s="1"/>
  <c r="V40" i="23"/>
  <c r="W39" i="23"/>
  <c r="X39" i="23" s="1"/>
  <c r="Y39" i="23" s="1"/>
  <c r="W46" i="24" l="1"/>
  <c r="X46" i="24" s="1"/>
  <c r="Y46" i="24" s="1"/>
  <c r="V47" i="24"/>
  <c r="W47" i="24" s="1"/>
  <c r="K42" i="23"/>
  <c r="L41" i="23"/>
  <c r="M41" i="23" s="1"/>
  <c r="N41" i="23" s="1"/>
  <c r="V41" i="23"/>
  <c r="W40" i="23"/>
  <c r="X40" i="23" s="1"/>
  <c r="Y40" i="23" s="1"/>
  <c r="V48" i="24" l="1"/>
  <c r="X47" i="24"/>
  <c r="Y47" i="24" s="1"/>
  <c r="K43" i="23"/>
  <c r="L42" i="23"/>
  <c r="M42" i="23" s="1"/>
  <c r="N42" i="23" s="1"/>
  <c r="V42" i="23"/>
  <c r="W41" i="23"/>
  <c r="X41" i="23" s="1"/>
  <c r="Y41" i="23" s="1"/>
  <c r="W48" i="24" l="1"/>
  <c r="X48" i="24" s="1"/>
  <c r="Y48" i="24" s="1"/>
  <c r="V49" i="24"/>
  <c r="K44" i="23"/>
  <c r="L43" i="23"/>
  <c r="M43" i="23" s="1"/>
  <c r="N43" i="23" s="1"/>
  <c r="V43" i="23"/>
  <c r="W42" i="23"/>
  <c r="X42" i="23" s="1"/>
  <c r="Y42" i="23" s="1"/>
  <c r="V50" i="24" l="1"/>
  <c r="W49" i="24"/>
  <c r="X49" i="24" s="1"/>
  <c r="Y49" i="24" s="1"/>
  <c r="K45" i="23"/>
  <c r="L44" i="23"/>
  <c r="M44" i="23" s="1"/>
  <c r="N44" i="23" s="1"/>
  <c r="V44" i="23"/>
  <c r="W43" i="23"/>
  <c r="X43" i="23" s="1"/>
  <c r="Y43" i="23" s="1"/>
  <c r="W50" i="24" l="1"/>
  <c r="X50" i="24" s="1"/>
  <c r="Y50" i="24" s="1"/>
  <c r="V51" i="24"/>
  <c r="K46" i="23"/>
  <c r="L45" i="23"/>
  <c r="M45" i="23" s="1"/>
  <c r="N45" i="23" s="1"/>
  <c r="V45" i="23"/>
  <c r="W44" i="23"/>
  <c r="X44" i="23" s="1"/>
  <c r="Y44" i="23" s="1"/>
  <c r="V52" i="24" l="1"/>
  <c r="W52" i="24" s="1"/>
  <c r="X52" i="24" s="1"/>
  <c r="Y52" i="24" s="1"/>
  <c r="W51" i="24"/>
  <c r="X51" i="24" s="1"/>
  <c r="Y51" i="24" s="1"/>
  <c r="K47" i="23"/>
  <c r="L46" i="23"/>
  <c r="M46" i="23" s="1"/>
  <c r="N46" i="23" s="1"/>
  <c r="V46" i="23"/>
  <c r="W45" i="23"/>
  <c r="X45" i="23" s="1"/>
  <c r="Y45" i="23" s="1"/>
  <c r="G6" i="25" l="1"/>
  <c r="K48" i="23"/>
  <c r="L47" i="23"/>
  <c r="M47" i="23" s="1"/>
  <c r="N47" i="23" s="1"/>
  <c r="V47" i="23"/>
  <c r="W46" i="23"/>
  <c r="X46" i="23" s="1"/>
  <c r="Y46" i="23" s="1"/>
  <c r="L48" i="23" l="1"/>
  <c r="M48" i="23" s="1"/>
  <c r="N48" i="23" s="1"/>
  <c r="K49" i="23"/>
  <c r="W47" i="23"/>
  <c r="X47" i="23" s="1"/>
  <c r="Y47" i="23" s="1"/>
  <c r="V48" i="23"/>
  <c r="K50" i="23" l="1"/>
  <c r="L49" i="23"/>
  <c r="M49" i="23" s="1"/>
  <c r="N49" i="23" s="1"/>
  <c r="V49" i="23"/>
  <c r="W48" i="23"/>
  <c r="X48" i="23" s="1"/>
  <c r="Y48" i="23" s="1"/>
  <c r="K51" i="23" l="1"/>
  <c r="L50" i="23"/>
  <c r="M50" i="23" s="1"/>
  <c r="N50" i="23" s="1"/>
  <c r="V50" i="23"/>
  <c r="W49" i="23"/>
  <c r="X49" i="23" s="1"/>
  <c r="Y49" i="23" s="1"/>
  <c r="K52" i="23" l="1"/>
  <c r="L51" i="23"/>
  <c r="M51" i="23" s="1"/>
  <c r="N51" i="23" s="1"/>
  <c r="W50" i="23"/>
  <c r="X50" i="23" s="1"/>
  <c r="Y50" i="23" s="1"/>
  <c r="V51" i="23"/>
  <c r="L52" i="23" l="1"/>
  <c r="M52" i="23" s="1"/>
  <c r="N52" i="23" s="1"/>
  <c r="K53" i="23"/>
  <c r="V52" i="23"/>
  <c r="W51" i="23"/>
  <c r="X51" i="23" s="1"/>
  <c r="Y51" i="23" s="1"/>
  <c r="K54" i="23" l="1"/>
  <c r="L53" i="23"/>
  <c r="M53" i="23" s="1"/>
  <c r="N53" i="23" s="1"/>
  <c r="V53" i="23"/>
  <c r="W52" i="23"/>
  <c r="X52" i="23" s="1"/>
  <c r="Y52" i="23" s="1"/>
  <c r="L54" i="23" l="1"/>
  <c r="M54" i="23" s="1"/>
  <c r="N54" i="23" s="1"/>
  <c r="K55" i="23"/>
  <c r="V54" i="23"/>
  <c r="W53" i="23"/>
  <c r="X53" i="23" s="1"/>
  <c r="Y53" i="23" s="1"/>
  <c r="K56" i="23" l="1"/>
  <c r="L55" i="23"/>
  <c r="M55" i="23" s="1"/>
  <c r="N55" i="23" s="1"/>
  <c r="V55" i="23"/>
  <c r="W54" i="23"/>
  <c r="X54" i="23" s="1"/>
  <c r="Y54" i="23" s="1"/>
  <c r="K57" i="23" l="1"/>
  <c r="L57" i="23" s="1"/>
  <c r="M57" i="23" s="1"/>
  <c r="N57" i="23" s="1"/>
  <c r="L56" i="23"/>
  <c r="M56" i="23" s="1"/>
  <c r="N56" i="23" s="1"/>
  <c r="V56" i="23"/>
  <c r="W55" i="23"/>
  <c r="X55" i="23" s="1"/>
  <c r="Y55" i="23" s="1"/>
  <c r="V57" i="23" l="1"/>
  <c r="W57" i="23" s="1"/>
  <c r="X57" i="23" s="1"/>
  <c r="Y57" i="23" s="1"/>
  <c r="W56" i="23"/>
  <c r="X56" i="23" s="1"/>
  <c r="Y56" i="23" s="1"/>
  <c r="C6" i="25" l="1"/>
  <c r="D6" i="25" l="1"/>
  <c r="H11" i="24"/>
  <c r="I11" i="24" s="1"/>
  <c r="K11" i="24" s="1"/>
  <c r="H31" i="24"/>
  <c r="I31" i="24" s="1"/>
  <c r="H32" i="24" l="1"/>
  <c r="I32" i="24" s="1"/>
  <c r="H33" i="24"/>
  <c r="I33" i="24" s="1"/>
  <c r="H12" i="24"/>
  <c r="I12" i="24" s="1"/>
  <c r="K12" i="24" s="1"/>
  <c r="H34" i="24" l="1"/>
  <c r="I34" i="24" s="1"/>
  <c r="H13" i="24"/>
  <c r="I13" i="24" s="1"/>
  <c r="K13" i="24" s="1"/>
  <c r="H14" i="24" l="1"/>
  <c r="I14" i="24" s="1"/>
  <c r="K14" i="24" s="1"/>
  <c r="H35" i="24"/>
  <c r="I35" i="24" s="1"/>
  <c r="H15" i="24" l="1"/>
  <c r="I15" i="24" s="1"/>
  <c r="K15" i="24" s="1"/>
  <c r="H36" i="24"/>
  <c r="I36" i="24" s="1"/>
  <c r="H16" i="24" l="1"/>
  <c r="I16" i="24" s="1"/>
  <c r="K16" i="24" s="1"/>
  <c r="H37" i="24"/>
  <c r="I37" i="24" s="1"/>
  <c r="H38" i="24" l="1"/>
  <c r="I38" i="24" s="1"/>
  <c r="H17" i="24"/>
  <c r="I17" i="24" s="1"/>
  <c r="K17" i="24" s="1"/>
  <c r="H39" i="24" l="1"/>
  <c r="I39" i="24" s="1"/>
  <c r="H18" i="24"/>
  <c r="I18" i="24" s="1"/>
  <c r="K18" i="24" s="1"/>
  <c r="H40" i="24" l="1"/>
  <c r="I40" i="24" s="1"/>
  <c r="H19" i="24"/>
  <c r="I19" i="24" s="1"/>
  <c r="K19" i="24" s="1"/>
  <c r="H41" i="24" l="1"/>
  <c r="I41" i="24" s="1"/>
  <c r="H20" i="24"/>
  <c r="I20" i="24" s="1"/>
  <c r="K20" i="24" s="1"/>
  <c r="H42" i="24" l="1"/>
  <c r="I42" i="24" s="1"/>
  <c r="H21" i="24"/>
  <c r="I21" i="24" s="1"/>
  <c r="K21" i="24" s="1"/>
  <c r="H43" i="24" l="1"/>
  <c r="I43" i="24" s="1"/>
  <c r="H22" i="24"/>
  <c r="I22" i="24" s="1"/>
  <c r="K22" i="24" s="1"/>
  <c r="H44" i="24" l="1"/>
  <c r="I44" i="24" s="1"/>
  <c r="H23" i="24"/>
  <c r="I23" i="24" s="1"/>
  <c r="K23" i="24" s="1"/>
  <c r="H45" i="24" l="1"/>
  <c r="I45" i="24" s="1"/>
  <c r="H24" i="24"/>
  <c r="I24" i="24" s="1"/>
  <c r="K24" i="24" s="1"/>
  <c r="H46" i="24" l="1"/>
  <c r="I46" i="24" s="1"/>
  <c r="H25" i="24"/>
  <c r="I25" i="24" s="1"/>
  <c r="K25" i="24" s="1"/>
  <c r="H47" i="24" l="1"/>
  <c r="I47" i="24" s="1"/>
  <c r="H26" i="24"/>
  <c r="I26" i="24" s="1"/>
  <c r="K26" i="24" s="1"/>
  <c r="H48" i="24" l="1"/>
  <c r="I48" i="24" s="1"/>
  <c r="H27" i="24"/>
  <c r="I27" i="24" s="1"/>
  <c r="K27" i="24" s="1"/>
  <c r="H49" i="24" l="1"/>
  <c r="I49" i="24" s="1"/>
  <c r="H28" i="24"/>
  <c r="I28" i="24" s="1"/>
  <c r="K28" i="24" s="1"/>
  <c r="H50" i="24" l="1"/>
  <c r="I50" i="24" s="1"/>
  <c r="H29" i="24"/>
  <c r="I29" i="24" s="1"/>
  <c r="K29" i="24" s="1"/>
  <c r="H51" i="24" l="1"/>
  <c r="I51" i="24" s="1"/>
  <c r="H30" i="24"/>
  <c r="I30" i="24" s="1"/>
  <c r="K30" i="24" s="1"/>
  <c r="K31" i="24" s="1"/>
  <c r="K32" i="24" s="1"/>
  <c r="K33" i="24" s="1"/>
  <c r="K34" i="24" s="1"/>
  <c r="K35" i="24" s="1"/>
  <c r="K36" i="24" s="1"/>
  <c r="K37" i="24" s="1"/>
  <c r="K38" i="24" s="1"/>
  <c r="K39" i="24" s="1"/>
  <c r="K40" i="24" s="1"/>
  <c r="K41" i="24" s="1"/>
  <c r="K42" i="24" s="1"/>
  <c r="K43" i="24" s="1"/>
  <c r="K44" i="24" s="1"/>
  <c r="K45" i="24" s="1"/>
  <c r="K46" i="24" s="1"/>
  <c r="K47" i="24" s="1"/>
  <c r="K48" i="24" s="1"/>
  <c r="K49" i="24" s="1"/>
  <c r="K50" i="24" s="1"/>
  <c r="K51" i="24" s="1"/>
  <c r="K52" i="24" s="1"/>
  <c r="L8" i="24" l="1"/>
  <c r="M8" i="24" s="1"/>
  <c r="N8" i="24" s="1"/>
  <c r="L9" i="24" l="1"/>
  <c r="M9" i="24" s="1"/>
  <c r="N9" i="24" s="1"/>
  <c r="L10" i="24" l="1"/>
  <c r="M10" i="24" s="1"/>
  <c r="N10" i="24" s="1"/>
  <c r="L11" i="24" l="1"/>
  <c r="M11" i="24" s="1"/>
  <c r="N11" i="24" s="1"/>
  <c r="L12" i="24" l="1"/>
  <c r="M12" i="24" s="1"/>
  <c r="N12" i="24" s="1"/>
  <c r="L13" i="24" l="1"/>
  <c r="M13" i="24" s="1"/>
  <c r="N13" i="24" s="1"/>
  <c r="L14" i="24" l="1"/>
  <c r="M14" i="24" s="1"/>
  <c r="N14" i="24" s="1"/>
  <c r="L15" i="24" l="1"/>
  <c r="M15" i="24" s="1"/>
  <c r="N15" i="24" s="1"/>
  <c r="L16" i="24" l="1"/>
  <c r="M16" i="24" s="1"/>
  <c r="N16" i="24" s="1"/>
  <c r="L17" i="24" l="1"/>
  <c r="M17" i="24" s="1"/>
  <c r="N17" i="24" s="1"/>
  <c r="L18" i="24" l="1"/>
  <c r="M18" i="24" s="1"/>
  <c r="N18" i="24" s="1"/>
  <c r="L19" i="24" l="1"/>
  <c r="M19" i="24" s="1"/>
  <c r="N19" i="24" s="1"/>
  <c r="L20" i="24" l="1"/>
  <c r="M20" i="24" s="1"/>
  <c r="N20" i="24" s="1"/>
  <c r="L21" i="24" l="1"/>
  <c r="M21" i="24" s="1"/>
  <c r="N21" i="24" s="1"/>
  <c r="L22" i="24" l="1"/>
  <c r="M22" i="24" s="1"/>
  <c r="N22" i="24" s="1"/>
  <c r="L30" i="24"/>
  <c r="M30" i="24" s="1"/>
  <c r="N30" i="24" s="1"/>
  <c r="L23" i="24"/>
  <c r="M23" i="24" s="1"/>
  <c r="N23" i="24" s="1"/>
  <c r="L31" i="24" l="1"/>
  <c r="M31" i="24" s="1"/>
  <c r="N31" i="24" s="1"/>
  <c r="L24" i="24"/>
  <c r="M24" i="24" s="1"/>
  <c r="N24" i="24" s="1"/>
  <c r="L32" i="24" l="1"/>
  <c r="M32" i="24" s="1"/>
  <c r="N32" i="24" s="1"/>
  <c r="L25" i="24"/>
  <c r="M25" i="24" s="1"/>
  <c r="N25" i="24" s="1"/>
  <c r="L33" i="24" l="1"/>
  <c r="M33" i="24" s="1"/>
  <c r="N33" i="24" s="1"/>
  <c r="L26" i="24"/>
  <c r="M26" i="24" s="1"/>
  <c r="N26" i="24" s="1"/>
  <c r="L34" i="24" l="1"/>
  <c r="M34" i="24" s="1"/>
  <c r="N34" i="24" s="1"/>
  <c r="L27" i="24"/>
  <c r="M27" i="24" s="1"/>
  <c r="N27" i="24" s="1"/>
  <c r="L35" i="24" l="1"/>
  <c r="M35" i="24" s="1"/>
  <c r="N35" i="24" s="1"/>
  <c r="L28" i="24"/>
  <c r="M28" i="24" s="1"/>
  <c r="N28" i="24" s="1"/>
  <c r="L29" i="24"/>
  <c r="M29" i="24" s="1"/>
  <c r="N29" i="24" s="1"/>
  <c r="L36" i="24" l="1"/>
  <c r="M36" i="24" s="1"/>
  <c r="N36" i="24" s="1"/>
  <c r="L37" i="24" l="1"/>
  <c r="M37" i="24" s="1"/>
  <c r="N37" i="24" s="1"/>
  <c r="L38" i="24" l="1"/>
  <c r="M38" i="24" s="1"/>
  <c r="N38" i="24" s="1"/>
  <c r="L39" i="24" l="1"/>
  <c r="M39" i="24" s="1"/>
  <c r="N39" i="24" s="1"/>
  <c r="L40" i="24" l="1"/>
  <c r="M40" i="24" s="1"/>
  <c r="N40" i="24" s="1"/>
  <c r="L41" i="24" l="1"/>
  <c r="M41" i="24" s="1"/>
  <c r="N41" i="24" s="1"/>
  <c r="L42" i="24" l="1"/>
  <c r="M42" i="24" s="1"/>
  <c r="N42" i="24" s="1"/>
  <c r="L43" i="24" l="1"/>
  <c r="M43" i="24" s="1"/>
  <c r="N43" i="24" s="1"/>
  <c r="L44" i="24" l="1"/>
  <c r="M44" i="24" s="1"/>
  <c r="N44" i="24" s="1"/>
  <c r="L45" i="24" l="1"/>
  <c r="M45" i="24" s="1"/>
  <c r="N45" i="24" s="1"/>
  <c r="L46" i="24" l="1"/>
  <c r="M46" i="24" s="1"/>
  <c r="N46" i="24" s="1"/>
  <c r="L47" i="24" l="1"/>
  <c r="M47" i="24" s="1"/>
  <c r="N47" i="24" s="1"/>
  <c r="L48" i="24" l="1"/>
  <c r="M48" i="24" s="1"/>
  <c r="N48" i="24" s="1"/>
  <c r="L49" i="24" l="1"/>
  <c r="M49" i="24" s="1"/>
  <c r="N49" i="24" s="1"/>
  <c r="L50" i="24" l="1"/>
  <c r="M50" i="24" s="1"/>
  <c r="N50" i="24" s="1"/>
  <c r="L52" i="24" l="1"/>
  <c r="M52" i="24" s="1"/>
  <c r="N52" i="24" s="1"/>
  <c r="L51" i="24"/>
  <c r="M51" i="24" s="1"/>
  <c r="N51" i="24" s="1"/>
  <c r="H6" i="25" l="1"/>
</calcChain>
</file>

<file path=xl/sharedStrings.xml><?xml version="1.0" encoding="utf-8"?>
<sst xmlns="http://schemas.openxmlformats.org/spreadsheetml/2006/main" count="2448" uniqueCount="1029">
  <si>
    <t>Fill out the table below, use statistical data on the component weight fractions</t>
  </si>
  <si>
    <t>Unit</t>
  </si>
  <si>
    <r>
      <t>(x/c)</t>
    </r>
    <r>
      <rPr>
        <b/>
        <vertAlign val="subscript"/>
        <sz val="11"/>
        <color rgb="FF000000"/>
        <rFont val="Calibri"/>
        <family val="2"/>
        <scheme val="minor"/>
      </rPr>
      <t>OEW</t>
    </r>
    <r>
      <rPr>
        <b/>
        <sz val="11"/>
        <color rgb="FF000000"/>
        <rFont val="Calibri"/>
        <family val="2"/>
        <scheme val="minor"/>
      </rPr>
      <t xml:space="preserve"> </t>
    </r>
    <r>
      <rPr>
        <b/>
        <vertAlign val="subscript"/>
        <sz val="11"/>
        <color rgb="FF000000"/>
        <rFont val="Calibri"/>
        <family val="2"/>
        <scheme val="minor"/>
      </rPr>
      <t>cg</t>
    </r>
  </si>
  <si>
    <t>fraction of MAC</t>
  </si>
  <si>
    <t>Fuselage length</t>
  </si>
  <si>
    <t>m</t>
  </si>
  <si>
    <t>this one I didn't change from ADSEE, might not be ours</t>
  </si>
  <si>
    <t>Nacelle length</t>
  </si>
  <si>
    <t>MAC</t>
  </si>
  <si>
    <t>fuselage group</t>
  </si>
  <si>
    <t>wing group</t>
  </si>
  <si>
    <t>item</t>
  </si>
  <si>
    <r>
      <t>M</t>
    </r>
    <r>
      <rPr>
        <vertAlign val="subscript"/>
        <sz val="11"/>
        <color rgb="FF000000"/>
        <rFont val="Calibri"/>
        <family val="2"/>
        <scheme val="minor"/>
      </rPr>
      <t>i</t>
    </r>
  </si>
  <si>
    <r>
      <t>X</t>
    </r>
    <r>
      <rPr>
        <vertAlign val="subscript"/>
        <sz val="11"/>
        <color rgb="FF000000"/>
        <rFont val="Calibri"/>
        <family val="2"/>
        <scheme val="minor"/>
      </rPr>
      <t>i</t>
    </r>
    <r>
      <rPr>
        <sz val="11"/>
        <color rgb="FF000000"/>
        <rFont val="Calibri"/>
        <family val="2"/>
        <scheme val="minor"/>
      </rPr>
      <t xml:space="preserve"> (m)</t>
    </r>
  </si>
  <si>
    <r>
      <t>M</t>
    </r>
    <r>
      <rPr>
        <vertAlign val="subscript"/>
        <sz val="11"/>
        <color rgb="FF000000"/>
        <rFont val="Calibri"/>
        <family val="2"/>
        <scheme val="minor"/>
      </rPr>
      <t>i</t>
    </r>
    <r>
      <rPr>
        <sz val="11"/>
        <color rgb="FF000000"/>
        <rFont val="Calibri"/>
        <family val="2"/>
        <scheme val="minor"/>
      </rPr>
      <t>X</t>
    </r>
    <r>
      <rPr>
        <vertAlign val="subscript"/>
        <sz val="11"/>
        <color rgb="FF000000"/>
        <rFont val="Calibri"/>
        <family val="2"/>
        <scheme val="minor"/>
      </rPr>
      <t>i</t>
    </r>
    <r>
      <rPr>
        <sz val="11"/>
        <color rgb="FF000000"/>
        <rFont val="Calibri"/>
        <family val="2"/>
        <scheme val="minor"/>
      </rPr>
      <t xml:space="preserve"> (m)</t>
    </r>
  </si>
  <si>
    <r>
      <t>M</t>
    </r>
    <r>
      <rPr>
        <vertAlign val="subscript"/>
        <sz val="11"/>
        <color rgb="FF000000"/>
        <rFont val="Calibri"/>
        <family val="2"/>
        <scheme val="minor"/>
      </rPr>
      <t>j</t>
    </r>
  </si>
  <si>
    <r>
      <t>x</t>
    </r>
    <r>
      <rPr>
        <vertAlign val="subscript"/>
        <sz val="11"/>
        <color rgb="FF000000"/>
        <rFont val="Calibri"/>
        <family val="2"/>
        <scheme val="minor"/>
      </rPr>
      <t>j</t>
    </r>
    <r>
      <rPr>
        <sz val="11"/>
        <color rgb="FF000000"/>
        <rFont val="Calibri"/>
        <family val="2"/>
        <scheme val="minor"/>
      </rPr>
      <t xml:space="preserve"> (m)</t>
    </r>
  </si>
  <si>
    <r>
      <t>M</t>
    </r>
    <r>
      <rPr>
        <vertAlign val="subscript"/>
        <sz val="11"/>
        <color rgb="FF000000"/>
        <rFont val="Calibri"/>
        <family val="2"/>
        <scheme val="minor"/>
      </rPr>
      <t>j</t>
    </r>
    <r>
      <rPr>
        <sz val="11"/>
        <color rgb="FF000000"/>
        <rFont val="Calibri"/>
        <family val="2"/>
        <scheme val="minor"/>
      </rPr>
      <t>x</t>
    </r>
    <r>
      <rPr>
        <vertAlign val="subscript"/>
        <sz val="11"/>
        <color rgb="FF000000"/>
        <rFont val="Calibri"/>
        <family val="2"/>
        <scheme val="minor"/>
      </rPr>
      <t>j</t>
    </r>
    <r>
      <rPr>
        <sz val="11"/>
        <color rgb="FF000000"/>
        <rFont val="Calibri"/>
        <family val="2"/>
        <scheme val="minor"/>
      </rPr>
      <t xml:space="preserve"> (m)</t>
    </r>
  </si>
  <si>
    <t>wing</t>
  </si>
  <si>
    <t>empennage</t>
  </si>
  <si>
    <t>fuselage</t>
  </si>
  <si>
    <t>Main Landing gear</t>
  </si>
  <si>
    <t>propulsion</t>
  </si>
  <si>
    <t>Nose Landing gear</t>
  </si>
  <si>
    <t>Cockpit Systems</t>
  </si>
  <si>
    <t>sum</t>
  </si>
  <si>
    <t>Calculate the leading edge position of the MAC</t>
  </si>
  <si>
    <r>
      <t>X</t>
    </r>
    <r>
      <rPr>
        <b/>
        <vertAlign val="subscript"/>
        <sz val="11"/>
        <color rgb="FF000000"/>
        <rFont val="Calibri"/>
        <family val="2"/>
        <scheme val="minor"/>
      </rPr>
      <t>LEMAC</t>
    </r>
  </si>
  <si>
    <t>Last updated 30.03</t>
  </si>
  <si>
    <r>
      <t>X</t>
    </r>
    <r>
      <rPr>
        <vertAlign val="subscript"/>
        <sz val="11"/>
        <rFont val="Calibri"/>
        <family val="2"/>
        <scheme val="minor"/>
      </rPr>
      <t>TEMAC</t>
    </r>
  </si>
  <si>
    <t>Next, calculate the CG travel during loading in the table below</t>
  </si>
  <si>
    <t>The loading diagram will be plotted automatically</t>
  </si>
  <si>
    <t>OEW</t>
  </si>
  <si>
    <t>payload</t>
  </si>
  <si>
    <t>&lt;--- calculation in payload stuff</t>
  </si>
  <si>
    <t>fuel</t>
  </si>
  <si>
    <t>&lt;--- i'd say it's a reasonably reasonable assumption ( influences loading diagram a lot, so change to improve that)</t>
  </si>
  <si>
    <t>X_(WOE+WP)</t>
  </si>
  <si>
    <t>X_(WOE+WP+WF)</t>
  </si>
  <si>
    <t>X_(WOE+WF)</t>
  </si>
  <si>
    <t>x</t>
  </si>
  <si>
    <t>Most forward CG position</t>
  </si>
  <si>
    <t>Most aft CG position</t>
  </si>
  <si>
    <t>Copy the loading diagram that is generated from Excel to a program of your choice (paint, powerpoint, etc.). Save this as a separate image with the name &lt;studentID&gt;_loadingDiagram.jpg</t>
  </si>
  <si>
    <t>Complete aircraft 3 view drawings</t>
  </si>
  <si>
    <t>Now that you know the position of the wing from the leading edge MAC position, you can make a 3 view drawing of your aircraft.</t>
  </si>
  <si>
    <t>Complete the 3 view drawings of your aircraft. Combine wing, fuselage and propulsion systems in the different views. Indicate the CG positions (OEW, forward, aft) in the side view.</t>
  </si>
  <si>
    <t>Make a picture of your drawing, this may come in handy later!</t>
  </si>
  <si>
    <t>frac</t>
  </si>
  <si>
    <t>mass</t>
  </si>
  <si>
    <t>Wing</t>
  </si>
  <si>
    <t>Horizontal Tail</t>
  </si>
  <si>
    <t>Vertical Tail</t>
  </si>
  <si>
    <t>Fuselage</t>
  </si>
  <si>
    <t>Propultion System</t>
  </si>
  <si>
    <t>rest</t>
  </si>
  <si>
    <t>Last updated 1.04</t>
  </si>
  <si>
    <t>Batteries</t>
  </si>
  <si>
    <t xml:space="preserve">payload </t>
  </si>
  <si>
    <t>payload w/ batteries</t>
  </si>
  <si>
    <t>&lt;--- calculation in bottom right</t>
  </si>
  <si>
    <t>X_(WOE+B)</t>
  </si>
  <si>
    <t>X_(WOE+WP+B)</t>
  </si>
  <si>
    <t>X_(WOE+WF+B)</t>
  </si>
  <si>
    <t>X_(WOE+WF+WP+B)</t>
  </si>
  <si>
    <r>
      <rPr>
        <sz val="11"/>
        <color rgb="FFFF0000"/>
        <rFont val="Calibri"/>
        <family val="2"/>
        <charset val="238"/>
        <scheme val="minor"/>
      </rPr>
      <t xml:space="preserve">Red </t>
    </r>
    <r>
      <rPr>
        <sz val="11"/>
        <rFont val="Calibri"/>
        <family val="2"/>
        <charset val="238"/>
        <scheme val="minor"/>
      </rPr>
      <t>not used in loading diagram</t>
    </r>
  </si>
  <si>
    <t>Wp(cabin)</t>
  </si>
  <si>
    <t>WF</t>
  </si>
  <si>
    <t>Wbat(aft)</t>
  </si>
  <si>
    <t>Wbat(front)</t>
  </si>
  <si>
    <t>Wp(aft)</t>
  </si>
  <si>
    <t>Wp(front)</t>
  </si>
  <si>
    <t xml:space="preserve">payload cg </t>
  </si>
  <si>
    <t>x [m]</t>
  </si>
  <si>
    <t>m [kg]</t>
  </si>
  <si>
    <t>xm [kgm]</t>
  </si>
  <si>
    <t>xlemac/MAC</t>
  </si>
  <si>
    <t>cargo front</t>
  </si>
  <si>
    <t>battery front</t>
  </si>
  <si>
    <t>cargo aft</t>
  </si>
  <si>
    <t>battery aft</t>
  </si>
  <si>
    <t>payload cabin</t>
  </si>
  <si>
    <t>battery</t>
  </si>
  <si>
    <t>payload whole</t>
  </si>
  <si>
    <t>[m3]</t>
  </si>
  <si>
    <t>V_front</t>
  </si>
  <si>
    <t>V_bat_front</t>
  </si>
  <si>
    <t>l_mlg_1000</t>
  </si>
  <si>
    <t>l_mlg_exx</t>
  </si>
  <si>
    <t>V_cargo_front</t>
  </si>
  <si>
    <t>V_aft</t>
  </si>
  <si>
    <t>l_nlg_1000</t>
  </si>
  <si>
    <t>l_nlg_exx</t>
  </si>
  <si>
    <t>V_bat_aft</t>
  </si>
  <si>
    <t>V_cargo_aft</t>
  </si>
  <si>
    <t>l_cargo_front</t>
  </si>
  <si>
    <t>l_cargo_aft</t>
  </si>
  <si>
    <t>approximate</t>
  </si>
  <si>
    <t>lf</t>
  </si>
  <si>
    <t>mass [kg]</t>
  </si>
  <si>
    <t>x_front [m]</t>
  </si>
  <si>
    <t>moment [kg*m]</t>
  </si>
  <si>
    <t>mass total [kg]</t>
  </si>
  <si>
    <t>moment total [kg*m]</t>
  </si>
  <si>
    <t>xcg_nose [m]</t>
  </si>
  <si>
    <t>xcg_lemac [m]</t>
  </si>
  <si>
    <t>xcg_lemac_mac [-]</t>
  </si>
  <si>
    <t>x_LEMAC/lf</t>
  </si>
  <si>
    <t>x_LEMAC</t>
  </si>
  <si>
    <t>cargo</t>
  </si>
  <si>
    <t>Standard person mass</t>
  </si>
  <si>
    <t>back to front</t>
  </si>
  <si>
    <t>w row 25</t>
  </si>
  <si>
    <t>front to back</t>
  </si>
  <si>
    <t>w row 1</t>
  </si>
  <si>
    <t>pax per row</t>
  </si>
  <si>
    <t>w row 24</t>
  </si>
  <si>
    <t>w row 2</t>
  </si>
  <si>
    <t>seat pitch [m]</t>
  </si>
  <si>
    <t>w row 23</t>
  </si>
  <si>
    <t>w row 3</t>
  </si>
  <si>
    <t>w row 22</t>
  </si>
  <si>
    <t>w row 4</t>
  </si>
  <si>
    <t xml:space="preserve">I made this sheet to set up an Excel for the loading diagram described in "Generation of Loading Diagram and determination of optimum tail surface" (Additional Material in Brightspace). </t>
  </si>
  <si>
    <t>w row 21</t>
  </si>
  <si>
    <t>w row 5</t>
  </si>
  <si>
    <t>w row 20</t>
  </si>
  <si>
    <t>w row 6</t>
  </si>
  <si>
    <t>w row 19</t>
  </si>
  <si>
    <t>w row 7</t>
  </si>
  <si>
    <t>w row 18</t>
  </si>
  <si>
    <t>w row 8</t>
  </si>
  <si>
    <t>w row 17</t>
  </si>
  <si>
    <t>w row 9</t>
  </si>
  <si>
    <t>w row 16</t>
  </si>
  <si>
    <t>w row 10</t>
  </si>
  <si>
    <t>w row 15</t>
  </si>
  <si>
    <t>w row 11</t>
  </si>
  <si>
    <t>w row 14</t>
  </si>
  <si>
    <t>w row 12</t>
  </si>
  <si>
    <t>w row 13</t>
  </si>
  <si>
    <t>28.03.2026 Update: I set up the masses for OEW, cargo, passengers and fuel, but I am lacking some geometric parameters, so the sheet is not working as it should (yet). Ideally, it should compute the parameters for boarding back to front and front to back.</t>
  </si>
  <si>
    <t>All cells in yellow have values that need to be calculated manually, the ones you see for now were (poorly) eyeballed!</t>
  </si>
  <si>
    <t>The values have now been somewhat improved</t>
  </si>
  <si>
    <t>All cells in pink take their values from cg_loading!</t>
  </si>
  <si>
    <t>a row 25</t>
  </si>
  <si>
    <t>a row 1</t>
  </si>
  <si>
    <t>a row 24</t>
  </si>
  <si>
    <t>a row 2</t>
  </si>
  <si>
    <t>pink???</t>
  </si>
  <si>
    <t>a row 23</t>
  </si>
  <si>
    <t>a row 3</t>
  </si>
  <si>
    <t>All cells in blue take their values from Weight Pie Chart!</t>
  </si>
  <si>
    <t>a row 22</t>
  </si>
  <si>
    <t>a row 4</t>
  </si>
  <si>
    <t>a row 21</t>
  </si>
  <si>
    <t>a row 5</t>
  </si>
  <si>
    <t>a row 20</t>
  </si>
  <si>
    <t>a row 6</t>
  </si>
  <si>
    <t>All cells in green take their values from pay, load, stuff!</t>
  </si>
  <si>
    <t>a row 19</t>
  </si>
  <si>
    <t>a row 7</t>
  </si>
  <si>
    <t>a row 18</t>
  </si>
  <si>
    <t>a row 8</t>
  </si>
  <si>
    <t>a row 17</t>
  </si>
  <si>
    <t>a row 9</t>
  </si>
  <si>
    <t>a row 16</t>
  </si>
  <si>
    <t>a row 10</t>
  </si>
  <si>
    <t>main avionics compartment door to radome [m]</t>
  </si>
  <si>
    <t>a row 15</t>
  </si>
  <si>
    <t>a row 11</t>
  </si>
  <si>
    <t>a row 14</t>
  </si>
  <si>
    <t>a row 12</t>
  </si>
  <si>
    <t>not a bad assumption ;)</t>
  </si>
  <si>
    <t>a row 13</t>
  </si>
  <si>
    <t>OEW + Batt</t>
  </si>
  <si>
    <t>This is an Excel Sheet made for the loading (potato) diagram of our modified CRJ-EXX. It mostly takes values from the CRJ-1000 Loading Diagram and Weight Pie Charts, but also MAC and x_LEMAC from cg_loading</t>
  </si>
  <si>
    <t>29.03.2026: I still don't have the OEW of the modified AC, as well as its x_cg, on top of the things that are still not correct for CRJ-1000 potato diagram.</t>
  </si>
  <si>
    <t>All cells in pink take their values from cg_loading_exx!</t>
  </si>
  <si>
    <r>
      <rPr>
        <b/>
        <sz val="11"/>
        <color rgb="FFFF0000"/>
        <rFont val="Calibri"/>
        <family val="2"/>
        <charset val="238"/>
        <scheme val="minor"/>
      </rPr>
      <t>Important note!</t>
    </r>
    <r>
      <rPr>
        <sz val="11"/>
        <color rgb="FFFF0000"/>
        <rFont val="Calibri"/>
        <family val="2"/>
        <charset val="238"/>
        <scheme val="minor"/>
      </rPr>
      <t xml:space="preserve"> Since the battery is non-removable (and we don't want to calculate the cg's for the batteries separately), this loading diagram just assumes they are loaded in one go.</t>
    </r>
  </si>
  <si>
    <t>CRJ-1000</t>
  </si>
  <si>
    <t>CRJ-EXX</t>
  </si>
  <si>
    <t>min + 2%</t>
  </si>
  <si>
    <t>max + 2%</t>
  </si>
  <si>
    <r>
      <t xml:space="preserve">TO DO: Once the Loading Diagrams have all correct values, tweak the x_LEMAC/lf and write the resulting xmin and xmax in the tables below. Based on this, construct the cg range plot. </t>
    </r>
    <r>
      <rPr>
        <sz val="11"/>
        <color rgb="FFFF0000"/>
        <rFont val="Calibri"/>
        <family val="2"/>
        <charset val="238"/>
        <scheme val="minor"/>
      </rPr>
      <t>THESE ARE TOTALLY NOT UP TO DATE</t>
    </r>
  </si>
  <si>
    <t>% MTOW</t>
  </si>
  <si>
    <t>MTOW</t>
  </si>
  <si>
    <t>Wp (cabin)</t>
  </si>
  <si>
    <t>Wp (aft)</t>
  </si>
  <si>
    <t>Wp (front)</t>
  </si>
  <si>
    <t>Total</t>
  </si>
  <si>
    <t>Wp</t>
  </si>
  <si>
    <t>Wcargo</t>
  </si>
  <si>
    <t>Wp cabin</t>
  </si>
  <si>
    <t>V front</t>
  </si>
  <si>
    <t>V aft</t>
  </si>
  <si>
    <t>V tot</t>
  </si>
  <si>
    <t>W front</t>
  </si>
  <si>
    <t>W aft</t>
  </si>
  <si>
    <t>W Batt (front)</t>
  </si>
  <si>
    <t>W Batt (aft)</t>
  </si>
  <si>
    <t>New Cargo</t>
  </si>
  <si>
    <t>Battery</t>
  </si>
  <si>
    <t>V bat front</t>
  </si>
  <si>
    <t>W bat front</t>
  </si>
  <si>
    <t>V bat aft</t>
  </si>
  <si>
    <t>W bat aft</t>
  </si>
  <si>
    <t>From cg_loading</t>
  </si>
  <si>
    <t>Fuselage weight</t>
  </si>
  <si>
    <t>Wing weight</t>
  </si>
  <si>
    <t>F weight CR-EXX</t>
  </si>
  <si>
    <t>W weight CR-EXX</t>
  </si>
  <si>
    <t>Total dif in OEW</t>
  </si>
  <si>
    <t>x_cargo_f</t>
  </si>
  <si>
    <t>x_cargo_a</t>
  </si>
  <si>
    <t>x_cabin</t>
  </si>
  <si>
    <t>x_payload</t>
  </si>
  <si>
    <t>m_cargo_f</t>
  </si>
  <si>
    <t>m_cargo_a</t>
  </si>
  <si>
    <t>m_cabin</t>
  </si>
  <si>
    <t>xm</t>
  </si>
  <si>
    <t>Control Curve</t>
  </si>
  <si>
    <t>X_cg / MAC</t>
  </si>
  <si>
    <t>Sh/S Stability</t>
  </si>
  <si>
    <t>Sh/S Control</t>
  </si>
  <si>
    <t>Stick fixed stability</t>
  </si>
  <si>
    <t>Gradient</t>
  </si>
  <si>
    <t>Control curve</t>
  </si>
  <si>
    <t>Parameter</t>
  </si>
  <si>
    <t>Value</t>
  </si>
  <si>
    <t>Description</t>
  </si>
  <si>
    <t>Intercept</t>
  </si>
  <si>
    <t>x_ac</t>
  </si>
  <si>
    <t>Fraction of MAC</t>
  </si>
  <si>
    <t>Slide No. 39-40</t>
  </si>
  <si>
    <t>AC of the aircraft less tail</t>
  </si>
  <si>
    <t>Calculated</t>
  </si>
  <si>
    <t>C_Lh</t>
  </si>
  <si>
    <t>C_LaA-h</t>
  </si>
  <si>
    <t>[rad^-1]</t>
  </si>
  <si>
    <t>Lift rate coeff. of the aircraft less tail</t>
  </si>
  <si>
    <t>C_m_ac</t>
  </si>
  <si>
    <t>(V_h/V)^2</t>
  </si>
  <si>
    <t>N.A.</t>
  </si>
  <si>
    <t>Tail/wing speed ratio</t>
  </si>
  <si>
    <t>GIVEN</t>
  </si>
  <si>
    <t>Stability Curve</t>
  </si>
  <si>
    <t>alpha</t>
  </si>
  <si>
    <t>rad</t>
  </si>
  <si>
    <t>C_Lah</t>
  </si>
  <si>
    <t>Lift rate coeff of the aircraft's tail</t>
  </si>
  <si>
    <t>C_LaA-h (approach)</t>
  </si>
  <si>
    <t>de/da</t>
  </si>
  <si>
    <t>Slide No. 47 (hidden)</t>
  </si>
  <si>
    <t>Downwash effect</t>
  </si>
  <si>
    <t>C_Law approach</t>
  </si>
  <si>
    <t>SM</t>
  </si>
  <si>
    <t>Safety margin</t>
  </si>
  <si>
    <t>C_LA-h</t>
  </si>
  <si>
    <t>maximum for movable tails</t>
  </si>
  <si>
    <t>Assumed</t>
  </si>
  <si>
    <t>from graph</t>
  </si>
  <si>
    <t>Assumed landing glide angle of attack</t>
  </si>
  <si>
    <t>Geometric and aero parameters</t>
  </si>
  <si>
    <t>x_ac_w</t>
  </si>
  <si>
    <t>Wing AC contribution</t>
  </si>
  <si>
    <t>General knowledge</t>
  </si>
  <si>
    <t>b_f</t>
  </si>
  <si>
    <t>[m]</t>
  </si>
  <si>
    <t>Fuselage width</t>
  </si>
  <si>
    <t>From APM</t>
  </si>
  <si>
    <t>h_f</t>
  </si>
  <si>
    <t>Fuselage height</t>
  </si>
  <si>
    <t>From APM, assumption of circular fuselage, looks accurate (APM also specifies "diameter" so likely its round)</t>
  </si>
  <si>
    <t>l_fn</t>
  </si>
  <si>
    <t>From APM, but on ground, might be slightly different in flight</t>
  </si>
  <si>
    <t>S_w</t>
  </si>
  <si>
    <t>[m^2]</t>
  </si>
  <si>
    <t>Wing planform area</t>
  </si>
  <si>
    <t>c_MAC</t>
  </si>
  <si>
    <t>MAC length</t>
  </si>
  <si>
    <t>We have a pixel calculation, but an actual one would be nicer</t>
  </si>
  <si>
    <t>c_g</t>
  </si>
  <si>
    <t>Mean geometric chord</t>
  </si>
  <si>
    <t>b</t>
  </si>
  <si>
    <t>Wing span</t>
  </si>
  <si>
    <t>taper</t>
  </si>
  <si>
    <t>Wing taper</t>
  </si>
  <si>
    <t>c/4 sweep</t>
  </si>
  <si>
    <t>[rad]</t>
  </si>
  <si>
    <t>Wing quarter chord sweep</t>
  </si>
  <si>
    <t>k_n</t>
  </si>
  <si>
    <t>Nacelle contribution coeff.</t>
  </si>
  <si>
    <t>b_n</t>
  </si>
  <si>
    <t>Nacelle width</t>
  </si>
  <si>
    <t>From APM, Actually height, but they seem circular</t>
  </si>
  <si>
    <t>l_n</t>
  </si>
  <si>
    <r>
      <rPr>
        <b/>
        <sz val="11"/>
        <color rgb="FF000000"/>
        <rFont val="Calibri"/>
        <scheme val="minor"/>
      </rPr>
      <t xml:space="preserve">Negative! </t>
    </r>
    <r>
      <rPr>
        <sz val="11"/>
        <color rgb="FF000000"/>
        <rFont val="Calibri"/>
        <scheme val="minor"/>
      </rPr>
      <t>(behind MAC/4)</t>
    </r>
  </si>
  <si>
    <t>Nacelle position</t>
  </si>
  <si>
    <t>From APM 28.6 to front or 30.55 to center of nacelle. Actually, the value for front is to coinciding door, but seems close enough.</t>
  </si>
  <si>
    <t>A_h</t>
  </si>
  <si>
    <t>Tail aspect ratio</t>
  </si>
  <si>
    <t>Data from APM</t>
  </si>
  <si>
    <t>c/2 sweep_h</t>
  </si>
  <si>
    <t>Tail half chord sweep</t>
  </si>
  <si>
    <t>M</t>
  </si>
  <si>
    <t>Mach number</t>
  </si>
  <si>
    <t>Corporate contact</t>
  </si>
  <si>
    <t>eta</t>
  </si>
  <si>
    <t>[-]</t>
  </si>
  <si>
    <t>Airfoil efficiency (lower bound taken)</t>
  </si>
  <si>
    <t>Conservative estimate</t>
  </si>
  <si>
    <t>beta</t>
  </si>
  <si>
    <t>S_net</t>
  </si>
  <si>
    <t>Net wing area</t>
  </si>
  <si>
    <t>S_h</t>
  </si>
  <si>
    <t>l_h</t>
  </si>
  <si>
    <t>Pixel measurements</t>
  </si>
  <si>
    <t>corporate contact: 13.5m</t>
  </si>
  <si>
    <t>C_Law</t>
  </si>
  <si>
    <t>A_w</t>
  </si>
  <si>
    <t>c/2 sweep_w</t>
  </si>
  <si>
    <t>r</t>
  </si>
  <si>
    <t>m_tv</t>
  </si>
  <si>
    <t>taper_h</t>
  </si>
  <si>
    <t>K_lam</t>
  </si>
  <si>
    <t>K_lam0</t>
  </si>
  <si>
    <t>V approach</t>
  </si>
  <si>
    <t>kts</t>
  </si>
  <si>
    <t>m/s</t>
  </si>
  <si>
    <t>M approach</t>
  </si>
  <si>
    <t>-</t>
  </si>
  <si>
    <t>beta approach</t>
  </si>
  <si>
    <t>Colour code:</t>
  </si>
  <si>
    <t>Measured [mm] to real dimension in [m]:</t>
  </si>
  <si>
    <t>Given</t>
  </si>
  <si>
    <t>Uncertain</t>
  </si>
  <si>
    <t>Certain</t>
  </si>
  <si>
    <t>Measurement [mm]</t>
  </si>
  <si>
    <t>Measurement [deg.]</t>
  </si>
  <si>
    <t>Scaled [m]</t>
  </si>
  <si>
    <t>tip chord_w</t>
  </si>
  <si>
    <t>root chord_w</t>
  </si>
  <si>
    <t>mac_w</t>
  </si>
  <si>
    <t>LE sweep_w</t>
  </si>
  <si>
    <t>LE sweep_h</t>
  </si>
  <si>
    <t>root chord_h</t>
  </si>
  <si>
    <t>tip_chord_h</t>
  </si>
  <si>
    <t>v_separation</t>
  </si>
  <si>
    <t>nacelle length</t>
  </si>
  <si>
    <t>l_h_goga</t>
  </si>
  <si>
    <t>Control Curve Plot</t>
  </si>
  <si>
    <t>Stability Curve Plot</t>
  </si>
  <si>
    <t>FOR THE CRJ EXX</t>
  </si>
  <si>
    <t>nacelles have increased dimension both in length (+20%) and diameter (+20%)</t>
  </si>
  <si>
    <t>the MTOW of the CRJ-EXX will be the same of the CRJ-1000</t>
  </si>
  <si>
    <t>increases the wing effective Aspect Ratio by 25% when compared to the initial CRJ-1000</t>
  </si>
  <si>
    <t xml:space="preserve">The maximum lift coefficient of the Aircraft-less-tail is increased by 20% with respect the
CRJ-1000 </t>
  </si>
  <si>
    <t>Cm0airfoil</t>
  </si>
  <si>
    <t>Cm_ac_w</t>
  </si>
  <si>
    <t>CL0</t>
  </si>
  <si>
    <t>Taken from data for the NACA 641-212</t>
  </si>
  <si>
    <t>https://www.scribd.com/document/581297906/STUDY-ABOUT-641-212-AIRFOIL-PROPERTIES-Fillipe-Oliveira</t>
  </si>
  <si>
    <t>delta_fus Cm_ac</t>
  </si>
  <si>
    <t>mu1</t>
  </si>
  <si>
    <t>mu2</t>
  </si>
  <si>
    <t>mu3</t>
  </si>
  <si>
    <t>delta Cl max</t>
  </si>
  <si>
    <t>https://eng.libretexts.org/Bookshelves/Aerospace_Engineering/Fundamentals_of_Aerospace_Engineering_%28Arnedo%29/03%3A_Aerodynamics/3.04%3A_High-lift_devices/3.4.03%3A_Increase_in_CLmax?utm_source=chatgpt.com</t>
  </si>
  <si>
    <t>c'/c</t>
  </si>
  <si>
    <t>S_wf</t>
  </si>
  <si>
    <t>deltaCm c/4</t>
  </si>
  <si>
    <t>delta Cm ac</t>
  </si>
  <si>
    <t>Cmac</t>
  </si>
  <si>
    <t>x_ac_w_appr</t>
  </si>
  <si>
    <t>x_ac_appr</t>
  </si>
  <si>
    <t>l_n_adjusted</t>
  </si>
  <si>
    <t>Table for report</t>
  </si>
  <si>
    <t>Use this sheet to perform your fuselage design. You'll need to make several drawing on graphing paper. Use the American convention for positioning your front view and side view with respect to your top view.</t>
  </si>
  <si>
    <t>Assignment 5.1</t>
  </si>
  <si>
    <t>State how your reference airplanes store cargo and luggage</t>
  </si>
  <si>
    <t>State the design payload mass</t>
  </si>
  <si>
    <t>kg</t>
  </si>
  <si>
    <t>State the maximum payload mass</t>
  </si>
  <si>
    <t>Assume an appropriate passenger mass excluding luggage</t>
  </si>
  <si>
    <t>Compute the total passenger mass excluding luggage</t>
  </si>
  <si>
    <t>Assume an appropriate carry-on luggage mass per passenger</t>
  </si>
  <si>
    <t>Compute the total carry-on luggage mass</t>
  </si>
  <si>
    <t>Assume an appropriate cargo hold luggage mass per passenger</t>
  </si>
  <si>
    <t>Compute the total cargo-hold luggage based mass</t>
  </si>
  <si>
    <t>Compute the remaining cargo mass for the design payload</t>
  </si>
  <si>
    <t>Compute the remaining cargo mass for the maximum structural payload</t>
  </si>
  <si>
    <t>Make assumptions on the volume per passenger, the density of luggage and the density of cargo. State these assumptions</t>
  </si>
  <si>
    <t>Volume per passenger:</t>
  </si>
  <si>
    <r>
      <t>m</t>
    </r>
    <r>
      <rPr>
        <vertAlign val="superscript"/>
        <sz val="11"/>
        <color theme="1"/>
        <rFont val="Calibri"/>
        <family val="2"/>
        <scheme val="minor"/>
      </rPr>
      <t>3</t>
    </r>
  </si>
  <si>
    <t>Luggage density</t>
  </si>
  <si>
    <r>
      <t>kg/m</t>
    </r>
    <r>
      <rPr>
        <vertAlign val="superscript"/>
        <sz val="11"/>
        <color theme="1"/>
        <rFont val="Calibri"/>
        <family val="2"/>
        <scheme val="minor"/>
      </rPr>
      <t>3</t>
    </r>
  </si>
  <si>
    <t>Cargo density</t>
  </si>
  <si>
    <t>Compute the approximate volume of passengers, carry-on luggage, cargo-hold luggage and cargo</t>
  </si>
  <si>
    <t>Passenger  volume:</t>
  </si>
  <si>
    <t>Luggage volume in cabin</t>
  </si>
  <si>
    <t>Luggage volume in cargo hold</t>
  </si>
  <si>
    <t>Cargo mass</t>
  </si>
  <si>
    <t>Cargo volume</t>
  </si>
  <si>
    <t>Decide how you distribute the payload witin your fuselage. Expain why you choose this distribution</t>
  </si>
  <si>
    <t>The hand lugage in the overhead bins</t>
  </si>
  <si>
    <t>Decide whether to store luggage and cargo in bulk and/or in unit load devices. Motivate your decision.</t>
  </si>
  <si>
    <t>Cargo storage in bulk as the place is too small for ULDs</t>
  </si>
  <si>
    <t>If you use unit load devices, specify the type:</t>
  </si>
  <si>
    <t>If you use unit load devices, specify the dimensions</t>
  </si>
  <si>
    <t>internal volume</t>
  </si>
  <si>
    <t>height (overall)</t>
  </si>
  <si>
    <t>height (un-contoured part) equal to overall height in case non contour</t>
  </si>
  <si>
    <t>depth</t>
  </si>
  <si>
    <t>base width</t>
  </si>
  <si>
    <t>overall width</t>
  </si>
  <si>
    <t>Contour (none, single, double)</t>
  </si>
  <si>
    <t>Full width of half width</t>
  </si>
  <si>
    <t>Assignment 5.2</t>
  </si>
  <si>
    <t>Use the design sequence for the cabin cross section to design the cabin cross section of your airplane</t>
  </si>
  <si>
    <t>Specify the aisle width you choose at armrest height:</t>
  </si>
  <si>
    <t>Specify the aisle width you choose at shoulder height:</t>
  </si>
  <si>
    <r>
      <t>List the values for w</t>
    </r>
    <r>
      <rPr>
        <vertAlign val="subscript"/>
        <sz val="11"/>
        <color theme="1"/>
        <rFont val="Calibri"/>
        <family val="2"/>
        <scheme val="minor"/>
      </rPr>
      <t>cabin</t>
    </r>
    <r>
      <rPr>
        <sz val="11"/>
        <color theme="1"/>
        <rFont val="Calibri"/>
        <family val="2"/>
        <scheme val="minor"/>
      </rPr>
      <t>:</t>
    </r>
  </si>
  <si>
    <r>
      <t>d</t>
    </r>
    <r>
      <rPr>
        <vertAlign val="subscript"/>
        <sz val="11"/>
        <color theme="1"/>
        <rFont val="Calibri"/>
        <family val="2"/>
        <scheme val="minor"/>
      </rPr>
      <t>f_inner</t>
    </r>
    <r>
      <rPr>
        <sz val="11"/>
        <color theme="1"/>
        <rFont val="Calibri"/>
        <family val="2"/>
        <scheme val="minor"/>
      </rPr>
      <t xml:space="preserve"> (if applicable)</t>
    </r>
  </si>
  <si>
    <r>
      <t>d</t>
    </r>
    <r>
      <rPr>
        <vertAlign val="subscript"/>
        <sz val="11"/>
        <color theme="1"/>
        <rFont val="Calibri"/>
        <family val="2"/>
        <scheme val="minor"/>
      </rPr>
      <t xml:space="preserve">f_outer </t>
    </r>
    <r>
      <rPr>
        <sz val="11"/>
        <color theme="1"/>
        <rFont val="Calibri"/>
        <family val="2"/>
        <scheme val="minor"/>
      </rPr>
      <t>(if applicable)</t>
    </r>
  </si>
  <si>
    <r>
      <t>What is the resulting height (h</t>
    </r>
    <r>
      <rPr>
        <vertAlign val="subscript"/>
        <sz val="11"/>
        <color theme="1"/>
        <rFont val="Calibri"/>
        <family val="2"/>
        <scheme val="minor"/>
      </rPr>
      <t>fus</t>
    </r>
    <r>
      <rPr>
        <sz val="11"/>
        <color theme="1"/>
        <rFont val="Calibri"/>
        <family val="2"/>
        <scheme val="minor"/>
      </rPr>
      <t>) of the fuselage cross section that you have designed?</t>
    </r>
  </si>
  <si>
    <r>
      <t>What is the resulting width (w</t>
    </r>
    <r>
      <rPr>
        <vertAlign val="subscript"/>
        <sz val="11"/>
        <color theme="1"/>
        <rFont val="Calibri"/>
        <family val="2"/>
        <scheme val="minor"/>
      </rPr>
      <t>fus</t>
    </r>
    <r>
      <rPr>
        <sz val="11"/>
        <color theme="1"/>
        <rFont val="Calibri"/>
        <family val="2"/>
        <scheme val="minor"/>
      </rPr>
      <t>) of the fuselage cross section that you have designed?</t>
    </r>
  </si>
  <si>
    <t>What is the total perimeter length of your fuselage cross section?</t>
  </si>
  <si>
    <t>Draw the cross section of your fuselage on a separate sheet, indicate the key dimensions.</t>
  </si>
  <si>
    <t>Make a picture of the fuselage cross section and save it as &lt;studentID&gt;_fuselageCrossSection.jpg</t>
  </si>
  <si>
    <t>Fuselage 3-view drawing - use an A3 paper here. You will later on add the rest of the aircraft.</t>
  </si>
  <si>
    <t>Assignment 5.3 - Design fuselage top view</t>
  </si>
  <si>
    <t>Choose a value for the following dimensional parameters of the nose and tail cone of the fuselage. Substantiate your choice in a single sentence.</t>
  </si>
  <si>
    <r>
      <t>Nose length: l</t>
    </r>
    <r>
      <rPr>
        <vertAlign val="subscript"/>
        <sz val="11"/>
        <color theme="1"/>
        <rFont val="Calibri"/>
        <family val="2"/>
        <scheme val="minor"/>
      </rPr>
      <t>n</t>
    </r>
  </si>
  <si>
    <r>
      <t>Nose-cone slenderness ratio: l</t>
    </r>
    <r>
      <rPr>
        <vertAlign val="subscript"/>
        <sz val="11"/>
        <color theme="1"/>
        <rFont val="Calibri"/>
        <family val="2"/>
        <scheme val="minor"/>
      </rPr>
      <t>nc</t>
    </r>
    <r>
      <rPr>
        <sz val="11"/>
        <color theme="1"/>
        <rFont val="Calibri"/>
        <family val="2"/>
        <scheme val="minor"/>
      </rPr>
      <t>/d</t>
    </r>
    <r>
      <rPr>
        <vertAlign val="subscript"/>
        <sz val="11"/>
        <color theme="1"/>
        <rFont val="Calibri"/>
        <family val="2"/>
        <scheme val="minor"/>
      </rPr>
      <t>fus</t>
    </r>
  </si>
  <si>
    <r>
      <t>Tail-cone slenderness ratio: l</t>
    </r>
    <r>
      <rPr>
        <vertAlign val="subscript"/>
        <sz val="11"/>
        <color theme="1"/>
        <rFont val="Calibri"/>
        <family val="2"/>
        <scheme val="minor"/>
      </rPr>
      <t>tc</t>
    </r>
    <r>
      <rPr>
        <sz val="11"/>
        <color theme="1"/>
        <rFont val="Calibri"/>
        <family val="2"/>
        <scheme val="minor"/>
      </rPr>
      <t>/d</t>
    </r>
    <r>
      <rPr>
        <vertAlign val="subscript"/>
        <sz val="11"/>
        <color theme="1"/>
        <rFont val="Calibri"/>
        <family val="2"/>
        <scheme val="minor"/>
      </rPr>
      <t>fus</t>
    </r>
  </si>
  <si>
    <r>
      <t>Tail-to-tail-cone length ratio: l</t>
    </r>
    <r>
      <rPr>
        <vertAlign val="subscript"/>
        <sz val="11"/>
        <color theme="1"/>
        <rFont val="Calibri"/>
        <family val="2"/>
        <scheme val="minor"/>
      </rPr>
      <t>t</t>
    </r>
    <r>
      <rPr>
        <sz val="11"/>
        <color theme="1"/>
        <rFont val="Calibri"/>
        <family val="2"/>
        <scheme val="minor"/>
      </rPr>
      <t>/l</t>
    </r>
    <r>
      <rPr>
        <vertAlign val="subscript"/>
        <sz val="11"/>
        <color theme="1"/>
        <rFont val="Calibri"/>
        <family val="2"/>
        <scheme val="minor"/>
      </rPr>
      <t>tc</t>
    </r>
  </si>
  <si>
    <t>Why do you make these choices?</t>
  </si>
  <si>
    <t>There is enough space in the cabin while sill having good aerodynamic properties.</t>
  </si>
  <si>
    <t>Use the sequence of the design steps at the beginning of this section to draw your fuselage in topview and indicate the main dimensions/angles</t>
  </si>
  <si>
    <r>
      <t>What is the resulting cabin length, l</t>
    </r>
    <r>
      <rPr>
        <vertAlign val="subscript"/>
        <sz val="11"/>
        <color theme="1"/>
        <rFont val="Calibri"/>
        <family val="2"/>
        <scheme val="minor"/>
      </rPr>
      <t>cabin</t>
    </r>
    <r>
      <rPr>
        <sz val="11"/>
        <color theme="1"/>
        <rFont val="Calibri"/>
        <family val="2"/>
        <scheme val="minor"/>
      </rPr>
      <t>?</t>
    </r>
  </si>
  <si>
    <r>
      <t>What is the resulting length of your fuselage, l</t>
    </r>
    <r>
      <rPr>
        <vertAlign val="subscript"/>
        <sz val="11"/>
        <color theme="1"/>
        <rFont val="Calibri"/>
        <family val="2"/>
        <scheme val="minor"/>
      </rPr>
      <t>fus</t>
    </r>
    <r>
      <rPr>
        <sz val="11"/>
        <color theme="1"/>
        <rFont val="Calibri"/>
        <family val="2"/>
        <scheme val="minor"/>
      </rPr>
      <t>?</t>
    </r>
  </si>
  <si>
    <t>Assignment 5.4 - Design fuselage side view</t>
  </si>
  <si>
    <t>What upward view angle do you choose?</t>
  </si>
  <si>
    <t>Deg</t>
  </si>
  <si>
    <t>What over-nose angle do you choose?</t>
  </si>
  <si>
    <t>Why?</t>
  </si>
  <si>
    <t>The angle was calculated for the aproach angle of 4 deg and aproach speed of 68 m/s</t>
  </si>
  <si>
    <t>What upsweep angle do you choose for the tail cone of your fuselage?</t>
  </si>
  <si>
    <t>High angle to minimise the length of the undercurage and it also looked right on the drawing</t>
  </si>
  <si>
    <t>Follow the steps laid out at the beginning of this section and draw your fuselage in side view and indicate the main dimensions/angles</t>
  </si>
  <si>
    <t>Motivate your decision on the distribution of the emergency exits</t>
  </si>
  <si>
    <t>Type A</t>
  </si>
  <si>
    <t>Type B</t>
  </si>
  <si>
    <t>Type C</t>
  </si>
  <si>
    <t>Type I</t>
  </si>
  <si>
    <t>Type II</t>
  </si>
  <si>
    <t>Type III</t>
  </si>
  <si>
    <t>Type IV</t>
  </si>
  <si>
    <t>Total:</t>
  </si>
  <si>
    <t>Number of emergency exits:</t>
  </si>
  <si>
    <t>This is the amount of emergency exits needed for planes up to 139 passangers and I have 134.</t>
  </si>
  <si>
    <t>Add the fuselage topview in your fuselage 3 view drawing</t>
  </si>
  <si>
    <t>AE1222-II</t>
  </si>
  <si>
    <t>Aircraft Design and Systems Engineering Elements I</t>
  </si>
  <si>
    <t>Aircraft Design Data sheet</t>
  </si>
  <si>
    <t>Instructions:</t>
  </si>
  <si>
    <t>Before submitting, complete the checklist below to make sure your assignment is complete and you have added all required pictures!</t>
  </si>
  <si>
    <t>save pictures as:</t>
  </si>
  <si>
    <t>&lt;studentID&gt;_aircraft3View.jpg</t>
  </si>
  <si>
    <t>For example:</t>
  </si>
  <si>
    <t>1234567_aircraft3View.jpg</t>
  </si>
  <si>
    <t>Notes:</t>
  </si>
  <si>
    <t>Use the graphing paper that is provided during the lectures.</t>
  </si>
  <si>
    <t>Make copies and pictures during the various drawing steps. In some cases you want to try a certain step first in a copy or on a seperate paper.</t>
  </si>
  <si>
    <t>Always try this before adding it to your final drawing, to avoid having to redraw parts!</t>
  </si>
  <si>
    <t>First name:</t>
  </si>
  <si>
    <t>Last name:</t>
  </si>
  <si>
    <t>Student number:</t>
  </si>
  <si>
    <t>Academic year of first enrolment</t>
  </si>
  <si>
    <t>Date:</t>
  </si>
  <si>
    <t>Aircraft number:</t>
  </si>
  <si>
    <t>Top level aircraft requirements:</t>
  </si>
  <si>
    <t>Specify the requirements associated to your aircraft number below.</t>
  </si>
  <si>
    <t># Passengers</t>
  </si>
  <si>
    <t>Range</t>
  </si>
  <si>
    <t>km</t>
  </si>
  <si>
    <t>Mass per passenger inc. Luggage</t>
  </si>
  <si>
    <t>Seat width</t>
  </si>
  <si>
    <t>cm</t>
  </si>
  <si>
    <t>Design payload mass</t>
  </si>
  <si>
    <t>Maximum structural payload mass</t>
  </si>
  <si>
    <t>Design objective</t>
  </si>
  <si>
    <t>Minimum MTOM</t>
  </si>
  <si>
    <t>Checklist files</t>
  </si>
  <si>
    <t>You should have all these files, according to this naming convention. Replace &lt;studentID&gt; with your student number, e.g. 1234567</t>
  </si>
  <si>
    <t>&lt;studentID&gt;_AE1222II_ACD_2024.xlsx</t>
  </si>
  <si>
    <t>&lt;studentID&gt;_missionProfile.jpg</t>
  </si>
  <si>
    <t>&lt;studentID&gt;_fuselageCrossSection.jpg</t>
  </si>
  <si>
    <t>&lt;studentID&gt;_PLRdiagram.jpg</t>
  </si>
  <si>
    <t>&lt;studentID&gt;_matchingDiagram.jpg</t>
  </si>
  <si>
    <t>&lt;studentID&gt;_loadingDiagram.jpg</t>
  </si>
  <si>
    <t>Checklist assignments</t>
  </si>
  <si>
    <t>You should have completed all these sheets:</t>
  </si>
  <si>
    <t>Cover sheet</t>
  </si>
  <si>
    <t>TLAR</t>
  </si>
  <si>
    <t>Reference Aircraft</t>
  </si>
  <si>
    <t>Configuration Selection</t>
  </si>
  <si>
    <t>Drag Polar</t>
  </si>
  <si>
    <t>Mass Estimation</t>
  </si>
  <si>
    <t>Matching Diagram</t>
  </si>
  <si>
    <t>Propulsion System</t>
  </si>
  <si>
    <t>CG and Loading Diagram</t>
  </si>
  <si>
    <t>Landing Gear</t>
  </si>
  <si>
    <t>Tail</t>
  </si>
  <si>
    <t>Design Log Book</t>
  </si>
  <si>
    <t xml:space="preserve">Fill this sheet with the requirements for your aircraft. Some fields are prefilled. </t>
  </si>
  <si>
    <t>Make sure to also perform assignment 3.2 and specify the number of engines you choose.</t>
  </si>
  <si>
    <t>Take-off</t>
  </si>
  <si>
    <t>Climb gradient requirements CS 25 at ISA SL</t>
  </si>
  <si>
    <t>Take-off distance</t>
  </si>
  <si>
    <t>Climb gradient requirements 25.119</t>
  </si>
  <si>
    <t>Runway surface type</t>
  </si>
  <si>
    <t>asphalt/tarmac</t>
  </si>
  <si>
    <t>Mass fraction</t>
  </si>
  <si>
    <t>Airport altitude</t>
  </si>
  <si>
    <t>Available Thrust (fraction)</t>
  </si>
  <si>
    <t>Airport temperature</t>
  </si>
  <si>
    <t>K</t>
  </si>
  <si>
    <t>Landing gear configuration</t>
  </si>
  <si>
    <t>Extended</t>
  </si>
  <si>
    <t>Mass fraction take-off</t>
  </si>
  <si>
    <t>Flap setting</t>
  </si>
  <si>
    <t>Landing</t>
  </si>
  <si>
    <t># of operating engines</t>
  </si>
  <si>
    <t>Climb</t>
  </si>
  <si>
    <t>Climb gradient</t>
  </si>
  <si>
    <t>%</t>
  </si>
  <si>
    <t>Minimum climb rate required</t>
  </si>
  <si>
    <t>Altitude for climb performance</t>
  </si>
  <si>
    <t>Climb gradient requirements 25.121a</t>
  </si>
  <si>
    <t>Temperature</t>
  </si>
  <si>
    <t>Mass fraction climb</t>
  </si>
  <si>
    <t>Cruise (specify speed in either knots or Mach number, specify the unit)</t>
  </si>
  <si>
    <t>Minimum cruise speed/Mach required</t>
  </si>
  <si>
    <t>Mach</t>
  </si>
  <si>
    <t>Cruise altitude</t>
  </si>
  <si>
    <t>Climb gradient requirements 25.121b</t>
  </si>
  <si>
    <t>Mass fraction cruise</t>
  </si>
  <si>
    <t>Retracted</t>
  </si>
  <si>
    <t>Landing field length</t>
  </si>
  <si>
    <t>Runway condition</t>
  </si>
  <si>
    <t>dry</t>
  </si>
  <si>
    <t>Climb gradient requirements 25.121c</t>
  </si>
  <si>
    <t>Mass fraction landing</t>
  </si>
  <si>
    <t>Loiter time</t>
  </si>
  <si>
    <t>min</t>
  </si>
  <si>
    <t>Diversion range</t>
  </si>
  <si>
    <t>Clean</t>
  </si>
  <si>
    <t>Certification specifications</t>
  </si>
  <si>
    <t>CS-25</t>
  </si>
  <si>
    <t>Approach speed requirement</t>
  </si>
  <si>
    <t>Climb gradient requirements 25.121d</t>
  </si>
  <si>
    <t>Altitude for approach speed</t>
  </si>
  <si>
    <t>Mass fraction approach speed</t>
  </si>
  <si>
    <t>Approach speed</t>
  </si>
  <si>
    <t>Decide the # of Engines for your aircraft:</t>
  </si>
  <si>
    <t>Assignment 3.2</t>
  </si>
  <si>
    <t>Draw a two-dimensional mission profile that depicts the mission of your airplane</t>
  </si>
  <si>
    <t>Make a picture of your drawing and save it as &lt;studentID&gt;_missionProfile.jpg</t>
  </si>
  <si>
    <t>For example: 1234567_missionProfile.jpg</t>
  </si>
  <si>
    <t>Use this table to specify the reference aircraft you select. Select 5 aircraft that are close to your requirements. Later, you will complete the assignments from chapter 6 and 7 in the same table</t>
  </si>
  <si>
    <t>Aircraft No.</t>
  </si>
  <si>
    <t>Maximum Payload mass</t>
  </si>
  <si>
    <t>Mission range</t>
  </si>
  <si>
    <t>Assignment 6.1</t>
  </si>
  <si>
    <t>Assignment 6.2</t>
  </si>
  <si>
    <t>Assignment 6.6</t>
  </si>
  <si>
    <t>Assignment 7.10</t>
  </si>
  <si>
    <t>Reference</t>
  </si>
  <si>
    <t>Manufacturer</t>
  </si>
  <si>
    <t>Aircraft name</t>
  </si>
  <si>
    <t>Maximum payload [kg]</t>
  </si>
  <si>
    <t>Range [km]</t>
  </si>
  <si>
    <t>Maximum take-off mass [kg]</t>
  </si>
  <si>
    <t>Empty mass (or Operating Empty Mass) [kg]</t>
  </si>
  <si>
    <r>
      <t>Wing Area [m</t>
    </r>
    <r>
      <rPr>
        <b/>
        <vertAlign val="superscript"/>
        <sz val="11"/>
        <color theme="1"/>
        <rFont val="Calibri"/>
        <family val="2"/>
        <scheme val="minor"/>
      </rPr>
      <t>2</t>
    </r>
    <r>
      <rPr>
        <b/>
        <sz val="11"/>
        <color theme="1"/>
        <rFont val="Calibri"/>
        <family val="2"/>
        <scheme val="minor"/>
      </rPr>
      <t>]</t>
    </r>
  </si>
  <si>
    <t>Wing span [m]</t>
  </si>
  <si>
    <t>Aspect ratio</t>
  </si>
  <si>
    <r>
      <t>S</t>
    </r>
    <r>
      <rPr>
        <b/>
        <vertAlign val="subscript"/>
        <sz val="11"/>
        <color theme="1"/>
        <rFont val="Calibri"/>
        <family val="2"/>
        <scheme val="minor"/>
      </rPr>
      <t>wet</t>
    </r>
    <r>
      <rPr>
        <b/>
        <sz val="11"/>
        <color theme="1"/>
        <rFont val="Calibri"/>
        <family val="2"/>
        <scheme val="minor"/>
      </rPr>
      <t>/S</t>
    </r>
  </si>
  <si>
    <r>
      <t>S</t>
    </r>
    <r>
      <rPr>
        <b/>
        <vertAlign val="subscript"/>
        <sz val="11"/>
        <color theme="1"/>
        <rFont val="Calibri"/>
        <family val="2"/>
        <scheme val="minor"/>
      </rPr>
      <t>wet</t>
    </r>
  </si>
  <si>
    <t>OEM/MTOM</t>
  </si>
  <si>
    <t>Airbus</t>
  </si>
  <si>
    <t>A319</t>
  </si>
  <si>
    <t>Boeing</t>
  </si>
  <si>
    <t>717-200 HGW (MD-95)</t>
  </si>
  <si>
    <t>McDonnell Douglas</t>
  </si>
  <si>
    <t>MD-87</t>
  </si>
  <si>
    <t xml:space="preserve">Vickers </t>
  </si>
  <si>
    <t>VC10 (Type 1101)</t>
  </si>
  <si>
    <t>Tupolev</t>
  </si>
  <si>
    <t>Tu-154</t>
  </si>
  <si>
    <t>Use this sheet to perform your configuration selection. You can select possibilities from the drop-down lists. Some aspects are prefilled and cannot be changed</t>
  </si>
  <si>
    <t>Always explain your choice in relation to the objective to design for minimum MTOM</t>
  </si>
  <si>
    <t>Select wing position</t>
  </si>
  <si>
    <t>low</t>
  </si>
  <si>
    <t>Explanation behind selection</t>
  </si>
  <si>
    <t>The low wing provides a way to mount enines at the back onto a fuselage andhave them run well without any disturbulansies caused by the wing.</t>
  </si>
  <si>
    <t>Energy carrier</t>
  </si>
  <si>
    <t>kerosene</t>
  </si>
  <si>
    <t>Specfic energy</t>
  </si>
  <si>
    <t>MJ/kg</t>
  </si>
  <si>
    <t>Aircraft engine type:</t>
  </si>
  <si>
    <t>jet</t>
  </si>
  <si>
    <t>No. of engines</t>
  </si>
  <si>
    <t>After I loked at possibe enines I could use I saw that for the size of my aircraft 3 modern engines had enough thrust to do the mission.</t>
  </si>
  <si>
    <t>Integration</t>
  </si>
  <si>
    <t>On fuselage side</t>
  </si>
  <si>
    <t>The tails fuselage mounted engines reduce the noise levels for most of the people, esspecially the people seated in front of the plane.</t>
  </si>
  <si>
    <t>How do you comply with turbine disk or propeller failure?</t>
  </si>
  <si>
    <t>The engines are loacated at the back, so they are far away form the pilots and the minimum flight crew.</t>
  </si>
  <si>
    <t>Has the integration of the propulsion system changed your design decision regarding the wing configuration? If so, explain. In case you make any changes, make sure to report them in the design log book.</t>
  </si>
  <si>
    <t>Landing gear layout</t>
  </si>
  <si>
    <t>Tricycle</t>
  </si>
  <si>
    <t>Main landing gear attachment</t>
  </si>
  <si>
    <t>Wing mounted</t>
  </si>
  <si>
    <t>Landing gear type</t>
  </si>
  <si>
    <t>Retractable</t>
  </si>
  <si>
    <t>Tricycle - Increased stability on the ground, easier for pilots during takeoff and landing as well as the tail dragger is unrealistic at the at scale.   Wing mounted - There needs ot be enough space between the landing gears to aviod wing strike.     Reatractable - at the crusing speed of at least 0.77 Mach, non-retractable landing gear would create too much drag.</t>
  </si>
  <si>
    <t>Has the decision of your landing-gear layout changed your decision on the vertical wing position or how to  integrate the propulsion system? In case you make any changes, make sure to report them in the design log book.</t>
  </si>
  <si>
    <t>Tail configuration</t>
  </si>
  <si>
    <t>T-Tail</t>
  </si>
  <si>
    <t>With the engines mounted at the back, this is pritty much the only viable option to keep the dirty air away from the control surfaces.</t>
  </si>
  <si>
    <t>Does the tail configuration of your choice have an influence on the other design choices you have made regarding the configuration? In otherwords, would you change any of the design decisions you have made before, now that you have chosen your tail configuration? Motivate your answer. In case you make any changes, make sure to report them in the design log book.</t>
  </si>
  <si>
    <t>Use this sheet to calculate the drag polar from chapter 6. You will need to refer to this sheet again during the assignments for chapter 7 on the matching diagram</t>
  </si>
  <si>
    <t>Assignments 6.1 and 6.2 will require you calculate values for your reference aircraft in the tab "Reference Aircraft"</t>
  </si>
  <si>
    <t>For each of your reference airplanes compute the reference aspect ratio (in the tab "Reference Aircraft")</t>
  </si>
  <si>
    <t>Decide which aspect ratio you choose for your airplane</t>
  </si>
  <si>
    <t>Motivate your decision:</t>
  </si>
  <si>
    <t>How does the choice in aspect ratio compare to the ones found on your reference airplanes?</t>
  </si>
  <si>
    <t>It is a bit on the higher end, but some of my reference aircraft are quite old so with low aspect ratio, so mine is more silimlair to the newer aircreft on the list</t>
  </si>
  <si>
    <t>What is the envisioned effect of your choice on the lift-induced drag?</t>
  </si>
  <si>
    <t>As I chose quite a high aspect ratio the lift-induced drag will be reduced but a considerable amount</t>
  </si>
  <si>
    <t>What is the envisioned effect of your choice on the wing weight?</t>
  </si>
  <si>
    <t xml:space="preserve">The weigh migh be a bit higher due to the higher structural mass needed for the same wing area at higher aspect ratios </t>
  </si>
  <si>
    <t>What is the envisioned effect of your choice on internal wing volume for fuel and systems?</t>
  </si>
  <si>
    <t>The space in the wing shoiuld be engough for the fuel and my landing gear is stored in the fuselage, so it will not take up any space in the wing.</t>
  </si>
  <si>
    <t>In this assignment you are going to estimate the zero-lift drag coefficient of you airplane.</t>
  </si>
  <si>
    <t>Make an estimate of the ratio of wetted-area to reference area for your reference airplanes (in the tab "Reference Aircraft")</t>
  </si>
  <si>
    <t>Estimate of the ratio of wetted-area to reference area for your airplane</t>
  </si>
  <si>
    <t>Calculate wetted area for your reference airplanes (in the tab "Reference Aircraft")</t>
  </si>
  <si>
    <t>Calculate wetted area for your airplane</t>
  </si>
  <si>
    <r>
      <t>m</t>
    </r>
    <r>
      <rPr>
        <vertAlign val="superscript"/>
        <sz val="11"/>
        <color theme="1"/>
        <rFont val="Calibri"/>
        <family val="2"/>
        <scheme val="minor"/>
      </rPr>
      <t>2</t>
    </r>
  </si>
  <si>
    <t>Estimate the equivalent friction coefficient for your airplane</t>
  </si>
  <si>
    <t>Estimate the zero-lift drag coefficient of your airplane</t>
  </si>
  <si>
    <t>Assignment 6.3</t>
  </si>
  <si>
    <t>What value for the parasite drag parameter do you assume?</t>
  </si>
  <si>
    <t>What value for the span efficiency factor do you assume?</t>
  </si>
  <si>
    <t>What is the maximum L/D value for your airplane in cruise configuration?</t>
  </si>
  <si>
    <t>Based on these assumption, what is the Oswald efficiency factor of your airplane?</t>
  </si>
  <si>
    <t>Assignment 6.4</t>
  </si>
  <si>
    <t>What (thermal) efficiency do you assume for your engine?</t>
  </si>
  <si>
    <t>If you use a propeller, what propulsor efficiency do you assume?</t>
  </si>
  <si>
    <t>If you use a turbofan, what bypass ratio do you choose?</t>
  </si>
  <si>
    <t>if you use a turbofan, what jet efficiency do you compute?</t>
  </si>
  <si>
    <t>Assignment 7.7</t>
  </si>
  <si>
    <t>What is the maximum flap deflection you choose for landing?</t>
  </si>
  <si>
    <t>What is the intermediate flap deflection you choose for take-off?</t>
  </si>
  <si>
    <t>Compute zero-lift drag and Oswald factor for the following conditions:</t>
  </si>
  <si>
    <t>Fligth Condition</t>
  </si>
  <si>
    <t>Landing gear position</t>
  </si>
  <si>
    <t>Flap deflection [deg]</t>
  </si>
  <si>
    <t>CD_o</t>
  </si>
  <si>
    <t>e</t>
  </si>
  <si>
    <t>Cruise</t>
  </si>
  <si>
    <t>retracted</t>
  </si>
  <si>
    <t>extended</t>
  </si>
  <si>
    <t>Use this sheet to perform the mass estimation for chapter 6. The resulting payload range diagram is automatically constructed based on your calculations</t>
  </si>
  <si>
    <t>Assignment 6.6 will require you calculate values for your reference aircraft in the tab "Reference Aircraft"</t>
  </si>
  <si>
    <t>Assignment 6.5</t>
  </si>
  <si>
    <t>Calculate the fuel mass fraction</t>
  </si>
  <si>
    <t>For your reference aircraft:  (in the tab "Reference Aircraft")</t>
  </si>
  <si>
    <t>Find the maximum take-off mass</t>
  </si>
  <si>
    <t>Find the (operating) empty mass (depending on what is listed in literature)</t>
  </si>
  <si>
    <t>Compute the (operating) empty mass fraction for each reference aircraft</t>
  </si>
  <si>
    <t>Make an estimation of the (operating) empty mass fraction of your aircraft:</t>
  </si>
  <si>
    <t>Assignment 6.7</t>
  </si>
  <si>
    <t>Compute the maximum take-off mass of your airplane</t>
  </si>
  <si>
    <t>Compute the (operating) empty mass of your airplane</t>
  </si>
  <si>
    <t>Compute the fuel mass of your airplane</t>
  </si>
  <si>
    <t>What is the fuel mass fraction of your airplane?</t>
  </si>
  <si>
    <t>Assignment 6.8</t>
  </si>
  <si>
    <t>Design range</t>
  </si>
  <si>
    <t>Design payload</t>
  </si>
  <si>
    <t>Maximum structural payload</t>
  </si>
  <si>
    <t>What is the payload mass fraction of your airplane?</t>
  </si>
  <si>
    <t>Compute the range at maximum structural payload</t>
  </si>
  <si>
    <t>Computer the ferry range at zero payload mass</t>
  </si>
  <si>
    <t>The payload range diagram on the right is automatically generated from your values.</t>
  </si>
  <si>
    <t>Copy the constraint diagram from Excel to a program of your choice (paint, powerpoint, etc.). Save this as a separate image with the name &lt;studentID&gt;_PLRdiagram.jpg</t>
  </si>
  <si>
    <t>Sheet</t>
  </si>
  <si>
    <t>Section</t>
  </si>
  <si>
    <t>Notes</t>
  </si>
  <si>
    <t>Top level requirements</t>
  </si>
  <si>
    <t>Maximum range is 3056km (comes from AOM)</t>
  </si>
  <si>
    <t>Mass estimation</t>
  </si>
  <si>
    <t>6.5</t>
  </si>
  <si>
    <t>Up to date</t>
  </si>
  <si>
    <t>6.6</t>
  </si>
  <si>
    <t>OEW mass fraction is up to date</t>
  </si>
  <si>
    <t>6.7</t>
  </si>
  <si>
    <t>All values up to date</t>
  </si>
  <si>
    <t>6.8</t>
  </si>
  <si>
    <t>Needs to be updated based on drag polar (range etc.)</t>
  </si>
  <si>
    <t>Payload Range Diagram</t>
  </si>
  <si>
    <t>Looks sketchy. Possibly due to drag polar data being not up to date.</t>
  </si>
  <si>
    <t>For range at max payload, this document says it's 2698 km</t>
  </si>
  <si>
    <t>link</t>
  </si>
  <si>
    <t>AOM for CRJ aircraft</t>
  </si>
  <si>
    <t>AOM</t>
  </si>
  <si>
    <t>I changed the  TSFC and bypass ratio to actual values and the p-r diagram looks better now</t>
  </si>
  <si>
    <t>(I also changed some stuff in drag polar that I'm not sure about (its in yellow for now))</t>
  </si>
  <si>
    <t>~AH</t>
  </si>
  <si>
    <t>V From wikipedia</t>
  </si>
  <si>
    <t>TSFC</t>
  </si>
  <si>
    <t>Rreq</t>
  </si>
  <si>
    <t>Rlost</t>
  </si>
  <si>
    <t>vcr</t>
  </si>
  <si>
    <t>Raux</t>
  </si>
  <si>
    <t>lapse</t>
  </si>
  <si>
    <t>CD0 πAe</t>
  </si>
  <si>
    <t>CD0/PIAe</t>
  </si>
  <si>
    <t>Theta t cruise</t>
  </si>
  <si>
    <t>Fill out the values you compute for the different constraints (power/thrust loading) for the range of wingloading values provided in column A.</t>
  </si>
  <si>
    <t>In order to determine the different constraints in the matching diagram, follow the assignments below.</t>
  </si>
  <si>
    <t>Cells on the right of the diagram are unlocked and can be used for intermediate calculations.</t>
  </si>
  <si>
    <t xml:space="preserve">The matching diagram is automatically generated from your computed values. </t>
  </si>
  <si>
    <r>
      <t>You can "zoom in" on the area of interest by deleting all values (empty the rows) of +500N/m</t>
    </r>
    <r>
      <rPr>
        <vertAlign val="superscript"/>
        <sz val="11"/>
        <color theme="1"/>
        <rFont val="Calibri"/>
        <family val="2"/>
        <scheme val="minor"/>
      </rPr>
      <t>2</t>
    </r>
    <r>
      <rPr>
        <sz val="11"/>
        <color theme="1"/>
        <rFont val="Calibri"/>
        <family val="2"/>
        <scheme val="minor"/>
      </rPr>
      <t xml:space="preserve"> above your maximum wing loading constraint</t>
    </r>
  </si>
  <si>
    <r>
      <t>E.g. if your maximum is at 4000N/m</t>
    </r>
    <r>
      <rPr>
        <vertAlign val="superscript"/>
        <sz val="11"/>
        <color theme="1"/>
        <rFont val="Calibri"/>
        <family val="2"/>
        <scheme val="minor"/>
      </rPr>
      <t>2</t>
    </r>
    <r>
      <rPr>
        <sz val="11"/>
        <color theme="1"/>
        <rFont val="Calibri"/>
        <family val="2"/>
        <scheme val="minor"/>
      </rPr>
      <t>, empty all cells A145:H189 to only show the plot between 0 and 4500 N/m</t>
    </r>
    <r>
      <rPr>
        <vertAlign val="superscript"/>
        <sz val="11"/>
        <color theme="1"/>
        <rFont val="Calibri"/>
        <family val="2"/>
        <scheme val="minor"/>
      </rPr>
      <t>2</t>
    </r>
    <r>
      <rPr>
        <sz val="11"/>
        <color theme="1"/>
        <rFont val="Calibri"/>
        <family val="2"/>
        <scheme val="minor"/>
      </rPr>
      <t xml:space="preserve"> wingloading</t>
    </r>
  </si>
  <si>
    <r>
      <t xml:space="preserve">Changing the axis limits is allowed, however, other changes are </t>
    </r>
    <r>
      <rPr>
        <b/>
        <sz val="11"/>
        <color rgb="FFFF0000"/>
        <rFont val="Calibri"/>
        <family val="2"/>
        <scheme val="minor"/>
      </rPr>
      <t>NOT</t>
    </r>
    <r>
      <rPr>
        <sz val="11"/>
        <color theme="1"/>
        <rFont val="Calibri"/>
        <family val="2"/>
        <scheme val="minor"/>
      </rPr>
      <t xml:space="preserve"> permitted</t>
    </r>
  </si>
  <si>
    <t>Make sure to still show all the constraint lines that are required!</t>
  </si>
  <si>
    <t>You can define the upper plotting limit of the power/thrust loading for the vertical constraint lines in cell B96</t>
  </si>
  <si>
    <t>Assignment 7.1</t>
  </si>
  <si>
    <t>What airplane type are you designing?</t>
  </si>
  <si>
    <t>transport jet</t>
  </si>
  <si>
    <r>
      <t>In cruise configuration, what C</t>
    </r>
    <r>
      <rPr>
        <vertAlign val="subscript"/>
        <sz val="11"/>
        <color theme="1"/>
        <rFont val="Calibri"/>
        <family val="2"/>
        <scheme val="minor"/>
      </rPr>
      <t>Lmax_cruise</t>
    </r>
    <r>
      <rPr>
        <sz val="11"/>
        <color theme="1"/>
        <rFont val="Calibri"/>
        <family val="2"/>
        <scheme val="minor"/>
      </rPr>
      <t xml:space="preserve"> do you assume?</t>
    </r>
  </si>
  <si>
    <t>Do you envision your airplane to have high-lift devices on the trailing edge?</t>
  </si>
  <si>
    <t>Yes</t>
  </si>
  <si>
    <t>Do you envision your airplane to have high-lift devices on the leading edge?</t>
  </si>
  <si>
    <r>
      <t>What landing C</t>
    </r>
    <r>
      <rPr>
        <vertAlign val="subscript"/>
        <sz val="11"/>
        <color theme="1"/>
        <rFont val="Calibri"/>
        <family val="2"/>
        <scheme val="minor"/>
      </rPr>
      <t>Lmax_landing</t>
    </r>
    <r>
      <rPr>
        <sz val="11"/>
        <color theme="1"/>
        <rFont val="Calibri"/>
        <family val="2"/>
        <scheme val="minor"/>
      </rPr>
      <t xml:space="preserve"> do you assume?</t>
    </r>
  </si>
  <si>
    <r>
      <t>What take-off C</t>
    </r>
    <r>
      <rPr>
        <vertAlign val="subscript"/>
        <sz val="11"/>
        <color theme="1"/>
        <rFont val="Calibri"/>
        <family val="2"/>
        <scheme val="minor"/>
      </rPr>
      <t>Lmax_take-off</t>
    </r>
    <r>
      <rPr>
        <sz val="11"/>
        <color theme="1"/>
        <rFont val="Calibri"/>
        <family val="2"/>
        <scheme val="minor"/>
      </rPr>
      <t xml:space="preserve"> do you assume?</t>
    </r>
  </si>
  <si>
    <t>Assignment 7.2</t>
  </si>
  <si>
    <t>Given your minimum speed requirement (assignment 3.5) state the following:</t>
  </si>
  <si>
    <t>Approach speed:</t>
  </si>
  <si>
    <t>Altitude</t>
  </si>
  <si>
    <t>Temperature difference</t>
  </si>
  <si>
    <t>Compute the maximum take-off wing loading of your airplane according to the minimum speed constraint of the previous step</t>
  </si>
  <si>
    <t>Plot the minimum speed constraint by inputting the value in B99:B189</t>
  </si>
  <si>
    <t>Assignment 7.3</t>
  </si>
  <si>
    <t>Given your landing-field length requirement (assignment 3.3) state the following:</t>
  </si>
  <si>
    <t>Compute the density for this requirement:</t>
  </si>
  <si>
    <t>Compute the maximum wing loading of your airplane for this constraint</t>
  </si>
  <si>
    <t>Plot the landing constraint by inputting the value in C99:C189</t>
  </si>
  <si>
    <t>Assignment 7.4</t>
  </si>
  <si>
    <t>What is the cruise altitude of your aircraft?</t>
  </si>
  <si>
    <t>Compute the power/thrust lapse of your engine in cruise conditions</t>
  </si>
  <si>
    <t>By-pass ratio (if applicable):</t>
  </si>
  <si>
    <t>Assignment 7.5</t>
  </si>
  <si>
    <t>Compute V_cr</t>
  </si>
  <si>
    <t>Tabulate the power loading or thrust loading in Column E99:E189 as a function of wingloading (use column D99:D189)</t>
  </si>
  <si>
    <t>Assignment 7.6</t>
  </si>
  <si>
    <t>State the climb rate requirement for your aircraft:</t>
  </si>
  <si>
    <t>Compute the atmospheric properties</t>
  </si>
  <si>
    <t>Pressure</t>
  </si>
  <si>
    <t>Pa</t>
  </si>
  <si>
    <t>Density</t>
  </si>
  <si>
    <t>Compute the lift coefficient for which the highest climb rate occurs</t>
  </si>
  <si>
    <t>Tabulate the take-off power/thrust loading values to satisfy the climb rate constraint in column (F99:F189) for a range of wing loading values (use column D99:D189)</t>
  </si>
  <si>
    <t>Assignment 7.8</t>
  </si>
  <si>
    <t>ISA SL conditions</t>
  </si>
  <si>
    <t>State the climb gradient requirement for your airplane</t>
  </si>
  <si>
    <t>25.121(a)</t>
  </si>
  <si>
    <t>25.121(b)</t>
  </si>
  <si>
    <t>25.121(c)</t>
  </si>
  <si>
    <t>25.121(d)</t>
  </si>
  <si>
    <t>No. of operating engines</t>
  </si>
  <si>
    <t>Temperature Difference</t>
  </si>
  <si>
    <r>
      <t>Applicable zero lift drag coefficient (</t>
    </r>
    <r>
      <rPr>
        <b/>
        <sz val="11"/>
        <color theme="1"/>
        <rFont val="Calibri"/>
        <family val="2"/>
        <scheme val="minor"/>
      </rPr>
      <t>Drag polar - assignment 7.7</t>
    </r>
    <r>
      <rPr>
        <sz val="11"/>
        <color theme="1"/>
        <rFont val="Calibri"/>
        <family val="2"/>
        <scheme val="minor"/>
      </rPr>
      <t>)</t>
    </r>
  </si>
  <si>
    <r>
      <t>Applicable Oswald factor (</t>
    </r>
    <r>
      <rPr>
        <b/>
        <sz val="11"/>
        <color theme="1"/>
        <rFont val="Calibri"/>
        <family val="2"/>
        <scheme val="minor"/>
      </rPr>
      <t>Drag polar - assignment 7.7</t>
    </r>
    <r>
      <rPr>
        <sz val="11"/>
        <color theme="1"/>
        <rFont val="Calibri"/>
        <family val="2"/>
        <scheme val="minor"/>
      </rPr>
      <t>)</t>
    </r>
  </si>
  <si>
    <t>Compute the lift coefficient for which the climb gradient is maximized (use an appropriate margin to the stall speed if applicable)</t>
  </si>
  <si>
    <t>Compute the drag coefficient for which the climb gradient is maximized</t>
  </si>
  <si>
    <t>Tabulate the take-off power/thrust loading values to satisfy the climb gradients constraint in column (G99:G189) for a range of wing loading values (use column D99:D189)</t>
  </si>
  <si>
    <t>Assignment 7.9</t>
  </si>
  <si>
    <t>Take-off field length</t>
  </si>
  <si>
    <t>altitude</t>
  </si>
  <si>
    <t>Condition</t>
  </si>
  <si>
    <t>AEO</t>
  </si>
  <si>
    <t>Zero lift drag coefficient</t>
  </si>
  <si>
    <t>Oswald factor</t>
  </si>
  <si>
    <t>Reference aircraf</t>
  </si>
  <si>
    <t>MTOM</t>
  </si>
  <si>
    <t>T/W</t>
  </si>
  <si>
    <t>W/S</t>
  </si>
  <si>
    <t>p</t>
  </si>
  <si>
    <t>T</t>
  </si>
  <si>
    <t>rho</t>
  </si>
  <si>
    <t>T0</t>
  </si>
  <si>
    <r>
      <t>Using the minimal allowed margin to the stall speed, compute the value of C</t>
    </r>
    <r>
      <rPr>
        <vertAlign val="subscript"/>
        <sz val="11"/>
        <color theme="1"/>
        <rFont val="Calibri"/>
        <family val="2"/>
        <scheme val="minor"/>
      </rPr>
      <t>L</t>
    </r>
    <r>
      <rPr>
        <vertAlign val="subscript"/>
        <sz val="8"/>
        <color theme="1"/>
        <rFont val="Calibri"/>
        <family val="2"/>
        <scheme val="minor"/>
      </rPr>
      <t>2</t>
    </r>
  </si>
  <si>
    <t>Tabulate the take-off power/thrust loading values to satisfy the take-off constraint in column (H99:H189) for a range of wing loading values (use column D99:D189)</t>
  </si>
  <si>
    <t>Specify your design point:</t>
  </si>
  <si>
    <r>
      <t>W</t>
    </r>
    <r>
      <rPr>
        <vertAlign val="subscript"/>
        <sz val="11"/>
        <color theme="1"/>
        <rFont val="Calibri"/>
        <family val="2"/>
        <scheme val="minor"/>
      </rPr>
      <t>TO</t>
    </r>
    <r>
      <rPr>
        <sz val="11"/>
        <color theme="1"/>
        <rFont val="Calibri"/>
        <family val="2"/>
        <scheme val="minor"/>
      </rPr>
      <t>/S</t>
    </r>
    <r>
      <rPr>
        <vertAlign val="subscript"/>
        <sz val="11"/>
        <color theme="1"/>
        <rFont val="Calibri"/>
        <family val="2"/>
        <scheme val="minor"/>
      </rPr>
      <t>W</t>
    </r>
  </si>
  <si>
    <r>
      <t>N/m</t>
    </r>
    <r>
      <rPr>
        <vertAlign val="superscript"/>
        <sz val="11"/>
        <color theme="1"/>
        <rFont val="Calibri"/>
        <family val="2"/>
        <scheme val="minor"/>
      </rPr>
      <t>2</t>
    </r>
  </si>
  <si>
    <t>A</t>
  </si>
  <si>
    <t>Copy the constraint diagram from Excel to a program of your choice (paint, powerpoint, etc.) and indicate the feasible design space. Save this as a separate image with the name &lt;studentID&gt;_matchingDiagram.jpg</t>
  </si>
  <si>
    <t>Compute:</t>
  </si>
  <si>
    <r>
      <t>S</t>
    </r>
    <r>
      <rPr>
        <vertAlign val="subscript"/>
        <sz val="11"/>
        <color theme="1"/>
        <rFont val="Calibri"/>
        <family val="2"/>
        <scheme val="minor"/>
      </rPr>
      <t>w</t>
    </r>
  </si>
  <si>
    <r>
      <t>b</t>
    </r>
    <r>
      <rPr>
        <vertAlign val="subscript"/>
        <sz val="11"/>
        <color theme="1"/>
        <rFont val="Calibri"/>
        <family val="2"/>
        <scheme val="minor"/>
      </rPr>
      <t>w</t>
    </r>
  </si>
  <si>
    <t>cruise speed</t>
  </si>
  <si>
    <t>cruise mach</t>
  </si>
  <si>
    <t>T cruise</t>
  </si>
  <si>
    <t>p cruise</t>
  </si>
  <si>
    <t>pt</t>
  </si>
  <si>
    <t>Tt</t>
  </si>
  <si>
    <t>p ratio</t>
  </si>
  <si>
    <t>T ratio</t>
  </si>
  <si>
    <t>alpha t</t>
  </si>
  <si>
    <t>Specify for your reference aircraft their take-off power or thrust loading.</t>
  </si>
  <si>
    <t>In your design log book, reflect on the chosen design point in relation to your reference aircraft in terms of your aircraft performance/requirements/design choices.</t>
  </si>
  <si>
    <t>Thrust/Power loading upper bound (for plotting):</t>
  </si>
  <si>
    <t>Wing loading</t>
  </si>
  <si>
    <t>Minimum speed</t>
  </si>
  <si>
    <t>Cruise Speed</t>
  </si>
  <si>
    <t>Climb rate</t>
  </si>
  <si>
    <t>Climb gradient CS25.119</t>
  </si>
  <si>
    <t>Climb gradient CS25.121a</t>
  </si>
  <si>
    <t>Climb gradient CS25.121b</t>
  </si>
  <si>
    <t>Climb gradient CS25.121c</t>
  </si>
  <si>
    <t>Climb gradient CS25.121d</t>
  </si>
  <si>
    <t>Speed climb gradient</t>
  </si>
  <si>
    <t>Mach speed</t>
  </si>
  <si>
    <t>Lapse</t>
  </si>
  <si>
    <t>Speed climb climb gradient</t>
  </si>
  <si>
    <t>Speed cruse</t>
  </si>
  <si>
    <r>
      <t>W/S - [N/m</t>
    </r>
    <r>
      <rPr>
        <b/>
        <vertAlign val="superscript"/>
        <sz val="11"/>
        <color theme="1"/>
        <rFont val="Calibri"/>
        <family val="2"/>
        <scheme val="minor"/>
      </rPr>
      <t>2</t>
    </r>
    <r>
      <rPr>
        <b/>
        <sz val="11"/>
        <color theme="1"/>
        <rFont val="Calibri"/>
        <family val="2"/>
        <scheme val="minor"/>
      </rPr>
      <t>]</t>
    </r>
  </si>
  <si>
    <t>W/S - [N/m2]</t>
  </si>
  <si>
    <t>Assignment 8.1</t>
  </si>
  <si>
    <t>Cruise Mach number</t>
  </si>
  <si>
    <t>(From TLAR)</t>
  </si>
  <si>
    <t>Determine the quarter chord sweep angle</t>
  </si>
  <si>
    <t>Why did you choose this angle?</t>
  </si>
  <si>
    <t>This angle was claluated using a formula given in the book, which is based on the statistical data from other aircraft</t>
  </si>
  <si>
    <t>Assignment 8.2</t>
  </si>
  <si>
    <t>Determine the taper ratio for your wing</t>
  </si>
  <si>
    <t>Why did you choose this taper ratio?</t>
  </si>
  <si>
    <t xml:space="preserve">This angle was claluated using a formula given in the book, which assumed strait-tapered wing and the tip to chord ratios which were chosen in the Drag polar sheet of this excel </t>
  </si>
  <si>
    <t>Assignment 8.3</t>
  </si>
  <si>
    <t>Wing aspect ratio</t>
  </si>
  <si>
    <t>(From drag polar 6.1)</t>
  </si>
  <si>
    <t>Calculate the span</t>
  </si>
  <si>
    <t>Calculate the root chord</t>
  </si>
  <si>
    <t>Calculate the tip chord</t>
  </si>
  <si>
    <t>On a separate paper, draw the planform of your wing (you may also draw one wing half) and indicate the dimensions/angle</t>
  </si>
  <si>
    <t>Assignment 8.4</t>
  </si>
  <si>
    <t>In the previous drawing, draw the mean aerodynamic chord on the symmetry line of the wing and indicate the length</t>
  </si>
  <si>
    <t>Length MAC:</t>
  </si>
  <si>
    <t>Assignment 8.5</t>
  </si>
  <si>
    <r>
      <t xml:space="preserve">Calculate the </t>
    </r>
    <r>
      <rPr>
        <b/>
        <sz val="11"/>
        <color theme="1"/>
        <rFont val="Calibri"/>
        <family val="2"/>
        <scheme val="minor"/>
      </rPr>
      <t>maximum</t>
    </r>
    <r>
      <rPr>
        <sz val="11"/>
        <color theme="1"/>
        <rFont val="Calibri"/>
        <family val="2"/>
        <scheme val="minor"/>
      </rPr>
      <t xml:space="preserve"> zero lift drag coefficient of the two-dimensional airfoil for your wing</t>
    </r>
  </si>
  <si>
    <r>
      <t xml:space="preserve">What is the corresponding </t>
    </r>
    <r>
      <rPr>
        <b/>
        <sz val="11"/>
        <color theme="1"/>
        <rFont val="Calibri"/>
        <family val="2"/>
        <scheme val="minor"/>
      </rPr>
      <t>maximum</t>
    </r>
    <r>
      <rPr>
        <sz val="11"/>
        <color theme="1"/>
        <rFont val="Calibri"/>
        <family val="2"/>
        <scheme val="minor"/>
      </rPr>
      <t xml:space="preserve"> thickness-to-chord ratio?</t>
    </r>
  </si>
  <si>
    <r>
      <t xml:space="preserve">Calculate the </t>
    </r>
    <r>
      <rPr>
        <b/>
        <sz val="11"/>
        <color theme="1"/>
        <rFont val="Calibri"/>
        <family val="2"/>
        <scheme val="minor"/>
      </rPr>
      <t>minimum</t>
    </r>
    <r>
      <rPr>
        <sz val="11"/>
        <color theme="1"/>
        <rFont val="Calibri"/>
        <family val="2"/>
        <scheme val="minor"/>
      </rPr>
      <t xml:space="preserve"> zero lift drag coefficient of the two-dimensional airfoil for your wing</t>
    </r>
  </si>
  <si>
    <r>
      <t xml:space="preserve">What is the corresponding </t>
    </r>
    <r>
      <rPr>
        <b/>
        <sz val="11"/>
        <color theme="1"/>
        <rFont val="Calibri"/>
        <family val="2"/>
        <scheme val="minor"/>
      </rPr>
      <t>minimum</t>
    </r>
    <r>
      <rPr>
        <sz val="11"/>
        <color theme="1"/>
        <rFont val="Calibri"/>
        <family val="2"/>
        <scheme val="minor"/>
      </rPr>
      <t xml:space="preserve"> thickness-to-chord ratio?</t>
    </r>
  </si>
  <si>
    <t>If the Cruise Mach number is in excess of 0.65; what is the maximum thickness-to-chord ratio to minimize the wave drag?</t>
  </si>
  <si>
    <t>Based on these calculations, what is the minimum value of the thickness-to-chord ratio?</t>
  </si>
  <si>
    <t>What is the maximum value of the thickness-to-chord ratio?</t>
  </si>
  <si>
    <t>What value do you choose for the thickness-to-chord ratio?</t>
  </si>
  <si>
    <r>
      <t>Is there a need to revisit your earlier assumptions on C</t>
    </r>
    <r>
      <rPr>
        <vertAlign val="subscript"/>
        <sz val="11"/>
        <color theme="1"/>
        <rFont val="Calibri"/>
        <family val="2"/>
        <scheme val="minor"/>
      </rPr>
      <t>Lmax_cruise</t>
    </r>
    <r>
      <rPr>
        <sz val="11"/>
        <color theme="1"/>
        <rFont val="Calibri"/>
        <family val="2"/>
        <scheme val="minor"/>
      </rPr>
      <t xml:space="preserve"> and/or C</t>
    </r>
    <r>
      <rPr>
        <vertAlign val="subscript"/>
        <sz val="11"/>
        <color theme="1"/>
        <rFont val="Calibri"/>
        <family val="2"/>
        <scheme val="minor"/>
      </rPr>
      <t>f</t>
    </r>
    <r>
      <rPr>
        <sz val="11"/>
        <color theme="1"/>
        <rFont val="Calibri"/>
        <family val="2"/>
        <scheme val="minor"/>
      </rPr>
      <t xml:space="preserve"> based on your choice of t/c?</t>
    </r>
  </si>
  <si>
    <t>No</t>
  </si>
  <si>
    <t>If so, report your initially assumed and calculated values in the design log book. Make sure to report all values, also from previous assignments that could be impacted and report the changes you have made to assumptions.</t>
  </si>
  <si>
    <t>This information is important for tracability of your design decisions, in case you need to modify something later on.</t>
  </si>
  <si>
    <t>Assignment 8.6</t>
  </si>
  <si>
    <t>Calculate the dihedral angle of your wing</t>
  </si>
  <si>
    <t>Based on ground clearance considerations, you increase this angle?</t>
  </si>
  <si>
    <t>If so, why?</t>
  </si>
  <si>
    <t>My engines are mounted to the fuselage at the back, so it only the tip clearence which is important and 2.6 deg is enough ground clearence for the wing tips, but 3 I want to round it up to 3 deg for better stability</t>
  </si>
  <si>
    <t>What dihedral angle do you finally choose?</t>
  </si>
  <si>
    <t>Assignment 8.7</t>
  </si>
  <si>
    <r>
      <t xml:space="preserve">Using the steps presented above, add a front view and side view to the wing drawing you made in </t>
    </r>
    <r>
      <rPr>
        <i/>
        <u/>
        <sz val="11"/>
        <color theme="1"/>
        <rFont val="Calibri"/>
        <family val="2"/>
        <scheme val="minor"/>
      </rPr>
      <t>Assignment</t>
    </r>
    <r>
      <rPr>
        <i/>
        <sz val="11"/>
        <color theme="1"/>
        <rFont val="Calibri"/>
        <family val="2"/>
        <scheme val="minor"/>
      </rPr>
      <t xml:space="preserve"> 8.3.</t>
    </r>
  </si>
  <si>
    <r>
      <t xml:space="preserve">Use the American convention for positioning your front view and side view with respect to your top view, similar to </t>
    </r>
    <r>
      <rPr>
        <i/>
        <u/>
        <sz val="11"/>
        <color theme="1"/>
        <rFont val="Calibri"/>
        <family val="2"/>
        <scheme val="minor"/>
      </rPr>
      <t>Example</t>
    </r>
    <r>
      <rPr>
        <i/>
        <sz val="11"/>
        <color theme="1"/>
        <rFont val="Calibri"/>
        <family val="2"/>
        <scheme val="minor"/>
      </rPr>
      <t xml:space="preserve"> 8.5.</t>
    </r>
  </si>
  <si>
    <r>
      <t xml:space="preserve">Indicate the dihedral angle and </t>
    </r>
    <r>
      <rPr>
        <i/>
        <sz val="11"/>
        <color theme="1"/>
        <rFont val="Calibri"/>
        <family val="2"/>
      </rPr>
      <t xml:space="preserve">ΔZ value </t>
    </r>
    <r>
      <rPr>
        <i/>
        <sz val="11"/>
        <color theme="1"/>
        <rFont val="Calibri"/>
        <family val="2"/>
        <scheme val="minor"/>
      </rPr>
      <t>om the drawing</t>
    </r>
  </si>
  <si>
    <t>From configuration selection</t>
  </si>
  <si>
    <t>Would you like to change the configuration of your engines/layout?</t>
  </si>
  <si>
    <t>If yes, please record this change in the logbook (old values) and update the configuration selection (and dependent calculations)</t>
  </si>
  <si>
    <t>For propeller engines:</t>
  </si>
  <si>
    <t>Calculate engine diameter</t>
  </si>
  <si>
    <t>Calculate engine length</t>
  </si>
  <si>
    <t>Calculate propeller diameter</t>
  </si>
  <si>
    <t>Calculate engine envelope width</t>
  </si>
  <si>
    <t>Calculate engine envelope length</t>
  </si>
  <si>
    <t>Calculate engine envelope height</t>
  </si>
  <si>
    <t>On a separate sheet, draw a three view of your engine, envelope, propeller and spinner, including the main dimensions.</t>
  </si>
  <si>
    <t>For jet engines:</t>
  </si>
  <si>
    <t>By-pass ratio</t>
  </si>
  <si>
    <r>
      <t>Choose an appropriate turbine inlet temperature (T</t>
    </r>
    <r>
      <rPr>
        <vertAlign val="subscript"/>
        <sz val="11"/>
        <color theme="1"/>
        <rFont val="Calibri"/>
        <family val="2"/>
        <scheme val="minor"/>
      </rPr>
      <t>t4</t>
    </r>
    <r>
      <rPr>
        <sz val="11"/>
        <color theme="1"/>
        <rFont val="Calibri"/>
        <family val="2"/>
        <scheme val="minor"/>
      </rPr>
      <t>)</t>
    </r>
  </si>
  <si>
    <r>
      <t>Assume a value for the combined turbine and fan efficiency η</t>
    </r>
    <r>
      <rPr>
        <vertAlign val="subscript"/>
        <sz val="11"/>
        <color theme="1"/>
        <rFont val="Calibri"/>
        <family val="2"/>
        <scheme val="minor"/>
      </rPr>
      <t>tf</t>
    </r>
  </si>
  <si>
    <r>
      <t>Assume a value for the nozzle effiency, η</t>
    </r>
    <r>
      <rPr>
        <vertAlign val="subscript"/>
        <sz val="11"/>
        <color theme="1"/>
        <rFont val="Calibri"/>
        <family val="2"/>
        <scheme val="minor"/>
      </rPr>
      <t>noz</t>
    </r>
  </si>
  <si>
    <t>Calculate the gas generator property, G</t>
  </si>
  <si>
    <t>Calculate the mass flow through your engine</t>
  </si>
  <si>
    <t>kg/s</t>
  </si>
  <si>
    <t>What type of nacelle do you choose for your turbofan engine?</t>
  </si>
  <si>
    <t>Explain your decision</t>
  </si>
  <si>
    <t>Calculate the inlet diameter</t>
  </si>
  <si>
    <t>Calculate the nacelle length (excluding cone)</t>
  </si>
  <si>
    <t>Determine a value for ϕ</t>
  </si>
  <si>
    <t>Calculate the fan cowling length</t>
  </si>
  <si>
    <t>Calculate the maximum nacelle diameter</t>
  </si>
  <si>
    <t>Calculate exit diameter of the fan cowling</t>
  </si>
  <si>
    <t>Determine the exposed gas generator cowling length</t>
  </si>
  <si>
    <t>Calculate the cowling diameter of the exposed gasturbine core at fan cowling exit</t>
  </si>
  <si>
    <t>Calculate the exit diameter of the gasturbine cowling</t>
  </si>
  <si>
    <t>Complete wing/fuselage drawings</t>
  </si>
  <si>
    <t>Complete the 3 view drawings of your wing or fuselage by adding the engines to the different views, depending on the configuration you chose for your engines</t>
  </si>
  <si>
    <t>Make sure to add a pylon or fairing, depending on your type of engine.</t>
  </si>
  <si>
    <t>Make sure that when integrating your engines that all integration constraints are met.</t>
  </si>
  <si>
    <t>What are your considerations for positioning the engines w.r.t. minimizing the maximum take-off mass of your aircraft?</t>
  </si>
  <si>
    <t xml:space="preserve">Reduces thrust-specific fuel consumption, however increases the wetted area. But importantly it is more quiet, which is an important considerartion for my design </t>
  </si>
  <si>
    <t>Place them as clsoe to the fuselage while still having clean aiflow going tino the engoines to minimise the pylon weight.</t>
  </si>
  <si>
    <t>nacelle</t>
  </si>
  <si>
    <t>fixed equipment</t>
  </si>
  <si>
    <t>Landing gear design and positioning</t>
  </si>
  <si>
    <t>Determine the number of main landing gear wheels for your aircraft:</t>
  </si>
  <si>
    <t>Determine the number of wheels per main gear strut:</t>
  </si>
  <si>
    <t>LCN number</t>
  </si>
  <si>
    <t>Determine the tire pressure</t>
  </si>
  <si>
    <t>kPa</t>
  </si>
  <si>
    <t>Compute static load per main gear wheel</t>
  </si>
  <si>
    <t>Select the smallest applicable tire and report:</t>
  </si>
  <si>
    <t>Specify the type (British or American) of tire</t>
  </si>
  <si>
    <t>Tire diameter</t>
  </si>
  <si>
    <t>Tire width</t>
  </si>
  <si>
    <t>Make sure you have a good quality picture/copy of your drawing before adding the landing gear. You may want to try this first in a copy!</t>
  </si>
  <si>
    <t>Nose gear positioning</t>
  </si>
  <si>
    <t>Choose a shock absorber stroke:</t>
  </si>
  <si>
    <t>In your aircraft side view:</t>
  </si>
  <si>
    <t>Draw scrape-angle constraint on wheel with compressed oleo</t>
  </si>
  <si>
    <t>Draw tip-over constraint for axle with extended oleo</t>
  </si>
  <si>
    <t>Determine longitudinal location of MLG wheel</t>
  </si>
  <si>
    <t>Determine forward bound of NLG axle for steering constraint</t>
  </si>
  <si>
    <t>Determine longitudinal location of NLG</t>
  </si>
  <si>
    <t>Check retraction</t>
  </si>
  <si>
    <t>Do you need to modify your landing gear position/design?</t>
  </si>
  <si>
    <t>If yes, report this in the design log book before redesigning. Make sure to report the constraint that is violated and what changes are required.</t>
  </si>
  <si>
    <t>Main gear positioning</t>
  </si>
  <si>
    <t>Show (initial) axle locations of NLG and MLG in your aircraft topview</t>
  </si>
  <si>
    <t>In your aircraft front and topview, draw ground clearance constraints</t>
  </si>
  <si>
    <t>Compute minimum track width for lateral tip over:</t>
  </si>
  <si>
    <t>Determine and draw the lateral and longitudinal position of MLG (axle)</t>
  </si>
  <si>
    <t>Check the feasibility of retraction mechanism; draw the retracted state</t>
  </si>
  <si>
    <t>If necessary, draw an auxiliary spar and yehudi. Report this in your design log book as well.</t>
  </si>
  <si>
    <t>If necessary, draw a fairing. Report this in your design log book as well.</t>
  </si>
  <si>
    <t>Complete the 3 view drawings with the nose and main gear.</t>
  </si>
  <si>
    <t>American</t>
  </si>
  <si>
    <t>Make sure you have a good quality picture/copy of your drawing before adding the tail. You may want to try this first in a copy, or by drawing the tail on a separate sheet and use this for positioning!</t>
  </si>
  <si>
    <t>Choose a longitudinal location of the horizontal tail aerodynamic center:</t>
  </si>
  <si>
    <t>Determine the moment arm to the aft-most CG position:</t>
  </si>
  <si>
    <t>Select an appropriate volume coefficient:</t>
  </si>
  <si>
    <t>Compute the required tail area:</t>
  </si>
  <si>
    <t>Determine the tail sweep:</t>
  </si>
  <si>
    <t>Determine the tail aspect ratio:</t>
  </si>
  <si>
    <t>Determine the tail taper ratio:</t>
  </si>
  <si>
    <t>Determine the tail span:</t>
  </si>
  <si>
    <t>Determine the tail root chord:</t>
  </si>
  <si>
    <t>Determine the tail tip chord:</t>
  </si>
  <si>
    <t>Determine the tail MAC:</t>
  </si>
  <si>
    <t>Draw and position the surface in the fuselage top view, indicate the key dimensions.</t>
  </si>
  <si>
    <t>Vertical tail</t>
  </si>
  <si>
    <t>Choose a longitudinal location of the vertical tail aerodynamic center:</t>
  </si>
  <si>
    <t>Determine the moment arm to the most aft CG position</t>
  </si>
  <si>
    <t>Draw and position the surface in the fuselage side view, indicate the key dimensions.</t>
  </si>
  <si>
    <t>Complete drawings</t>
  </si>
  <si>
    <t>Complete the 3 view drawings of your aircraft. Add the tail surfaces to the different views.</t>
  </si>
  <si>
    <t>Make a picture of your final aircraft 3 view drawing and save it as &lt;studentID&gt;_aircraft3View.jpg</t>
  </si>
  <si>
    <t>CS-23</t>
  </si>
  <si>
    <t>hydrogen</t>
  </si>
  <si>
    <t>electricity</t>
  </si>
  <si>
    <t>Dropdown lists</t>
  </si>
  <si>
    <t>academic year</t>
  </si>
  <si>
    <t>Runway surface</t>
  </si>
  <si>
    <t>Engine type</t>
  </si>
  <si>
    <t>Aircraft type</t>
  </si>
  <si>
    <t>energy carrier</t>
  </si>
  <si>
    <t>nacelle type</t>
  </si>
  <si>
    <t>Before 2023/2024</t>
  </si>
  <si>
    <t>Single aisle</t>
  </si>
  <si>
    <t>2023/2024</t>
  </si>
  <si>
    <t>grass</t>
  </si>
  <si>
    <t>propeller</t>
  </si>
  <si>
    <t>Twin aisle</t>
  </si>
  <si>
    <t>gravel</t>
  </si>
  <si>
    <t>Regional</t>
  </si>
  <si>
    <t>concrete</t>
  </si>
  <si>
    <t>Commuter</t>
  </si>
  <si>
    <t>General aviation</t>
  </si>
  <si>
    <t>engine integration</t>
  </si>
  <si>
    <t>CS</t>
  </si>
  <si>
    <t>Under wing</t>
  </si>
  <si>
    <t>wing position</t>
  </si>
  <si>
    <t>Over wing</t>
  </si>
  <si>
    <t>wet</t>
  </si>
  <si>
    <t>high</t>
  </si>
  <si>
    <t>icy</t>
  </si>
  <si>
    <t>mid</t>
  </si>
  <si>
    <t>Burried in the wing</t>
  </si>
  <si>
    <t>In fuselage nose</t>
  </si>
  <si>
    <t>Tail mounted</t>
  </si>
  <si>
    <t>Wing mounted + tail</t>
  </si>
  <si>
    <t>Fuselage mounted + tail</t>
  </si>
  <si>
    <t>Tail configurations</t>
  </si>
  <si>
    <t>Fixed</t>
  </si>
  <si>
    <t>Low tail</t>
  </si>
  <si>
    <t>OEI</t>
  </si>
  <si>
    <t>Fuselage mounted</t>
  </si>
  <si>
    <t>Cruciform tail</t>
  </si>
  <si>
    <t>Tailless</t>
  </si>
  <si>
    <t>V-Tail</t>
  </si>
  <si>
    <t>Tail dragger</t>
  </si>
  <si>
    <t>Y-Tail</t>
  </si>
  <si>
    <t>Twin-boom</t>
  </si>
  <si>
    <t>Bicycle</t>
  </si>
  <si>
    <t>Twin-vertical</t>
  </si>
  <si>
    <t>Triple-vertical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</si>
</sst>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0.000"/>
    <numFmt numFmtId="166" formatCode="0.0"/>
    <numFmt numFmtId="167" formatCode="0.0000"/>
    <numFmt numFmtId="168" formatCode="0.00000"/>
    <numFmt numFmtId="169" formatCode="0.000000"/>
    <numFmt numFmtId="170" formatCode="0.000000000000000000000000000000000000000000000000000000000"/>
  </numFmts>
  <fonts count="53">
    <font>
      <sz val="11"/>
      <color theme="1"/>
      <name val="Calibri"/>
      <family val="2"/>
      <scheme val="minor"/>
    </font>
    <font>
      <sz val="11"/>
      <color theme="1"/>
      <name val="Calibri"/>
      <family val="2"/>
      <charset val="238"/>
      <scheme val="minor"/>
    </font>
    <font>
      <vertAlign val="superscript"/>
      <sz val="11"/>
      <color theme="1"/>
      <name val="Calibri"/>
      <family val="2"/>
      <scheme val="minor"/>
    </font>
    <font>
      <b/>
      <sz val="11"/>
      <color theme="1"/>
      <name val="Calibri"/>
      <family val="2"/>
      <scheme val="minor"/>
    </font>
    <font>
      <vertAlign val="subscript"/>
      <sz val="11"/>
      <color theme="1"/>
      <name val="Calibri"/>
      <family val="2"/>
      <scheme val="minor"/>
    </font>
    <font>
      <b/>
      <sz val="11"/>
      <color rgb="FFC00000"/>
      <name val="Calibri"/>
      <family val="2"/>
      <scheme val="minor"/>
    </font>
    <font>
      <sz val="11"/>
      <color rgb="FFFF0000"/>
      <name val="Calibri"/>
      <family val="2"/>
      <scheme val="minor"/>
    </font>
    <font>
      <b/>
      <sz val="11"/>
      <color rgb="FF000000"/>
      <name val="Calibri"/>
      <family val="2"/>
      <scheme val="minor"/>
    </font>
    <font>
      <b/>
      <vertAlign val="subscript"/>
      <sz val="11"/>
      <color rgb="FF000000"/>
      <name val="Calibri"/>
      <family val="2"/>
      <scheme val="minor"/>
    </font>
    <font>
      <sz val="11"/>
      <color rgb="FF000000"/>
      <name val="Calibri"/>
      <family val="2"/>
      <scheme val="minor"/>
    </font>
    <font>
      <sz val="11"/>
      <name val="Calibri"/>
      <family val="2"/>
      <scheme val="minor"/>
    </font>
    <font>
      <i/>
      <sz val="11"/>
      <color theme="1"/>
      <name val="Calibri"/>
      <family val="2"/>
      <scheme val="minor"/>
    </font>
    <font>
      <b/>
      <sz val="11"/>
      <color rgb="FFFF0000"/>
      <name val="Calibri"/>
      <family val="2"/>
      <scheme val="minor"/>
    </font>
    <font>
      <sz val="11"/>
      <color theme="0"/>
      <name val="Calibri"/>
      <family val="2"/>
      <scheme val="minor"/>
    </font>
    <font>
      <b/>
      <i/>
      <sz val="11"/>
      <color theme="1"/>
      <name val="Calibri"/>
      <family val="2"/>
      <scheme val="minor"/>
    </font>
    <font>
      <b/>
      <vertAlign val="superscript"/>
      <sz val="11"/>
      <color theme="1"/>
      <name val="Calibri"/>
      <family val="2"/>
      <scheme val="minor"/>
    </font>
    <font>
      <vertAlign val="subscript"/>
      <sz val="8"/>
      <color theme="1"/>
      <name val="Calibri"/>
      <family val="2"/>
      <scheme val="minor"/>
    </font>
    <font>
      <b/>
      <sz val="11"/>
      <color theme="4"/>
      <name val="Calibri"/>
      <family val="2"/>
      <scheme val="minor"/>
    </font>
    <font>
      <b/>
      <sz val="11"/>
      <color theme="5"/>
      <name val="Calibri"/>
      <family val="2"/>
      <scheme val="minor"/>
    </font>
    <font>
      <b/>
      <sz val="11"/>
      <color rgb="FF7030A0"/>
      <name val="Calibri"/>
      <family val="2"/>
      <scheme val="minor"/>
    </font>
    <font>
      <b/>
      <sz val="11"/>
      <color theme="7"/>
      <name val="Calibri"/>
      <family val="2"/>
      <scheme val="minor"/>
    </font>
    <font>
      <b/>
      <sz val="11"/>
      <color theme="9"/>
      <name val="Calibri"/>
      <family val="2"/>
      <scheme val="minor"/>
    </font>
    <font>
      <b/>
      <sz val="14"/>
      <color theme="1"/>
      <name val="Calibri"/>
      <family val="2"/>
      <scheme val="minor"/>
    </font>
    <font>
      <b/>
      <sz val="11"/>
      <color theme="7" tint="-0.249977111117893"/>
      <name val="Calibri"/>
      <family val="2"/>
      <scheme val="minor"/>
    </font>
    <font>
      <b/>
      <sz val="11"/>
      <color rgb="FF00B0F0"/>
      <name val="Calibri"/>
      <family val="2"/>
      <scheme val="minor"/>
    </font>
    <font>
      <b/>
      <sz val="11"/>
      <color rgb="FFFF7401"/>
      <name val="Calibri"/>
      <family val="2"/>
      <scheme val="minor"/>
    </font>
    <font>
      <b/>
      <sz val="11"/>
      <name val="Calibri"/>
      <family val="2"/>
      <scheme val="minor"/>
    </font>
    <font>
      <b/>
      <i/>
      <sz val="12"/>
      <color theme="1"/>
      <name val="Calibri"/>
      <family val="2"/>
      <scheme val="minor"/>
    </font>
    <font>
      <b/>
      <vertAlign val="subscript"/>
      <sz val="11"/>
      <color theme="1"/>
      <name val="Calibri"/>
      <family val="2"/>
      <scheme val="minor"/>
    </font>
    <font>
      <i/>
      <u/>
      <sz val="11"/>
      <color theme="1"/>
      <name val="Calibri"/>
      <family val="2"/>
      <scheme val="minor"/>
    </font>
    <font>
      <i/>
      <sz val="11"/>
      <color theme="1"/>
      <name val="Calibri"/>
      <family val="2"/>
    </font>
    <font>
      <sz val="11"/>
      <color theme="5"/>
      <name val="Calibri"/>
      <family val="2"/>
      <scheme val="minor"/>
    </font>
    <font>
      <i/>
      <sz val="11"/>
      <name val="Calibri"/>
      <family val="2"/>
      <scheme val="minor"/>
    </font>
    <font>
      <i/>
      <sz val="11"/>
      <color rgb="FF000000"/>
      <name val="Calibri"/>
      <family val="2"/>
      <scheme val="minor"/>
    </font>
    <font>
      <vertAlign val="subscript"/>
      <sz val="11"/>
      <name val="Calibri"/>
      <family val="2"/>
      <scheme val="minor"/>
    </font>
    <font>
      <vertAlign val="subscript"/>
      <sz val="11"/>
      <color rgb="FF000000"/>
      <name val="Calibri"/>
      <family val="2"/>
      <scheme val="minor"/>
    </font>
    <font>
      <sz val="11"/>
      <color theme="1"/>
      <name val="Calibri"/>
      <family val="2"/>
      <scheme val="minor"/>
    </font>
    <font>
      <u/>
      <sz val="11"/>
      <color theme="10"/>
      <name val="Calibri"/>
      <family val="2"/>
      <scheme val="minor"/>
    </font>
    <font>
      <sz val="8"/>
      <name val="Calibri"/>
      <family val="2"/>
      <scheme val="minor"/>
    </font>
    <font>
      <sz val="11"/>
      <color rgb="FF7030A0"/>
      <name val="Calibri"/>
      <family val="2"/>
      <scheme val="minor"/>
    </font>
    <font>
      <sz val="11"/>
      <color rgb="FF00B0F0"/>
      <name val="Calibri"/>
      <family val="2"/>
      <scheme val="minor"/>
    </font>
    <font>
      <sz val="11"/>
      <color rgb="FFC00000"/>
      <name val="Calibri"/>
      <family val="2"/>
      <scheme val="minor"/>
    </font>
    <font>
      <sz val="11"/>
      <color theme="4" tint="-0.249977111117893"/>
      <name val="Calibri"/>
      <family val="2"/>
      <scheme val="minor"/>
    </font>
    <font>
      <sz val="11"/>
      <color theme="7"/>
      <name val="Calibri"/>
      <family val="2"/>
      <scheme val="minor"/>
    </font>
    <font>
      <sz val="11"/>
      <color rgb="FF00CC99"/>
      <name val="Calibri"/>
      <family val="2"/>
      <scheme val="minor"/>
    </font>
    <font>
      <sz val="11"/>
      <color rgb="FFFF33CC"/>
      <name val="Calibri"/>
      <family val="2"/>
      <scheme val="minor"/>
    </font>
    <font>
      <b/>
      <sz val="11"/>
      <color theme="1"/>
      <name val="Calibri"/>
      <family val="2"/>
      <charset val="238"/>
      <scheme val="minor"/>
    </font>
    <font>
      <sz val="11"/>
      <color rgb="FFFF0000"/>
      <name val="Calibri"/>
      <family val="2"/>
      <charset val="238"/>
      <scheme val="minor"/>
    </font>
    <font>
      <b/>
      <sz val="11"/>
      <color rgb="FFFF0000"/>
      <name val="Calibri"/>
      <family val="2"/>
      <charset val="238"/>
      <scheme val="minor"/>
    </font>
    <font>
      <sz val="12"/>
      <color theme="1"/>
      <name val="Gg Sans"/>
      <charset val="1"/>
    </font>
    <font>
      <sz val="11"/>
      <name val="Calibri"/>
      <family val="2"/>
      <charset val="238"/>
      <scheme val="minor"/>
    </font>
    <font>
      <b/>
      <sz val="11"/>
      <color rgb="FF000000"/>
      <name val="Calibri"/>
      <scheme val="minor"/>
    </font>
    <font>
      <sz val="11"/>
      <color rgb="FF000000"/>
      <name val="Calibri"/>
      <scheme val="minor"/>
    </font>
  </fonts>
  <fills count="12">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rgb="FFFF9999"/>
        <bgColor indexed="64"/>
      </patternFill>
    </fill>
    <fill>
      <patternFill patternType="solid">
        <fgColor rgb="FF99CCFF"/>
        <bgColor indexed="64"/>
      </patternFill>
    </fill>
    <fill>
      <patternFill patternType="solid">
        <fgColor theme="2"/>
        <bgColor indexed="64"/>
      </patternFill>
    </fill>
    <fill>
      <patternFill patternType="solid">
        <fgColor rgb="FF99FF66"/>
        <bgColor indexed="64"/>
      </patternFill>
    </fill>
    <fill>
      <patternFill patternType="solid">
        <fgColor rgb="FFFF0000"/>
        <bgColor indexed="64"/>
      </patternFill>
    </fill>
    <fill>
      <patternFill patternType="solid">
        <fgColor rgb="FFCCFF66"/>
        <bgColor indexed="64"/>
      </patternFill>
    </fill>
  </fills>
  <borders count="46">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s>
  <cellStyleXfs count="3">
    <xf numFmtId="0" fontId="0" fillId="0" borderId="0"/>
    <xf numFmtId="164" fontId="36" fillId="0" borderId="0" applyFont="0" applyFill="0" applyBorder="0" applyAlignment="0" applyProtection="0"/>
    <xf numFmtId="0" fontId="37" fillId="0" borderId="0" applyNumberFormat="0" applyFill="0" applyBorder="0" applyAlignment="0" applyProtection="0"/>
  </cellStyleXfs>
  <cellXfs count="346">
    <xf numFmtId="0" fontId="0" fillId="0" borderId="0" xfId="0"/>
    <xf numFmtId="0" fontId="0" fillId="2" borderId="2" xfId="0" applyFill="1" applyBorder="1" applyProtection="1">
      <protection locked="0"/>
    </xf>
    <xf numFmtId="0" fontId="0" fillId="2" borderId="0" xfId="0" applyFill="1"/>
    <xf numFmtId="0" fontId="12" fillId="2" borderId="0" xfId="0" applyFont="1" applyFill="1" applyAlignment="1">
      <alignment horizontal="center" vertical="center"/>
    </xf>
    <xf numFmtId="0" fontId="3" fillId="2" borderId="0" xfId="0" applyFont="1" applyFill="1" applyAlignment="1">
      <alignment horizontal="left" wrapText="1"/>
    </xf>
    <xf numFmtId="0" fontId="3" fillId="2" borderId="0" xfId="0" applyFont="1" applyFill="1" applyAlignment="1">
      <alignment horizontal="center"/>
    </xf>
    <xf numFmtId="0" fontId="10" fillId="2" borderId="0" xfId="0" applyFont="1" applyFill="1"/>
    <xf numFmtId="0" fontId="3" fillId="2" borderId="0" xfId="0" applyFont="1" applyFill="1"/>
    <xf numFmtId="0" fontId="22" fillId="2" borderId="0" xfId="0" applyFont="1" applyFill="1"/>
    <xf numFmtId="49" fontId="0" fillId="2" borderId="2" xfId="0" applyNumberFormat="1" applyFill="1" applyBorder="1" applyProtection="1">
      <protection locked="0"/>
    </xf>
    <xf numFmtId="14" fontId="0" fillId="2" borderId="2" xfId="0" applyNumberFormat="1" applyFill="1" applyBorder="1" applyProtection="1">
      <protection locked="0"/>
    </xf>
    <xf numFmtId="1" fontId="0" fillId="2" borderId="2" xfId="0" applyNumberFormat="1" applyFill="1" applyBorder="1" applyProtection="1">
      <protection locked="0"/>
    </xf>
    <xf numFmtId="0" fontId="0" fillId="2" borderId="0" xfId="0" applyFill="1" applyAlignment="1">
      <alignment horizontal="left"/>
    </xf>
    <xf numFmtId="0" fontId="26" fillId="2" borderId="0" xfId="0" applyFont="1" applyFill="1"/>
    <xf numFmtId="0" fontId="0" fillId="2" borderId="2" xfId="0" applyFill="1" applyBorder="1"/>
    <xf numFmtId="0" fontId="0" fillId="2" borderId="0" xfId="0" applyFill="1" applyProtection="1">
      <protection locked="0"/>
    </xf>
    <xf numFmtId="0" fontId="0" fillId="0" borderId="0" xfId="0" applyProtection="1">
      <protection locked="0"/>
    </xf>
    <xf numFmtId="0" fontId="3" fillId="2" borderId="0" xfId="0" applyFont="1" applyFill="1" applyProtection="1">
      <protection locked="0"/>
    </xf>
    <xf numFmtId="0" fontId="27" fillId="2" borderId="0" xfId="0" applyFont="1" applyFill="1"/>
    <xf numFmtId="0" fontId="3" fillId="0" borderId="0" xfId="0" applyFont="1" applyAlignment="1">
      <alignment wrapText="1"/>
    </xf>
    <xf numFmtId="0" fontId="3" fillId="2" borderId="0" xfId="0" applyFont="1" applyFill="1" applyAlignment="1">
      <alignment wrapText="1"/>
    </xf>
    <xf numFmtId="1" fontId="0" fillId="2" borderId="0" xfId="0" applyNumberFormat="1" applyFill="1"/>
    <xf numFmtId="0" fontId="0" fillId="0" borderId="0" xfId="0" applyAlignment="1">
      <alignment wrapText="1"/>
    </xf>
    <xf numFmtId="0" fontId="0" fillId="2" borderId="0" xfId="0" applyFill="1" applyAlignment="1">
      <alignment wrapText="1"/>
    </xf>
    <xf numFmtId="0" fontId="11" fillId="2" borderId="0" xfId="0" applyFont="1" applyFill="1" applyAlignment="1">
      <alignment horizontal="left"/>
    </xf>
    <xf numFmtId="0" fontId="0" fillId="2" borderId="3" xfId="0" applyFill="1" applyBorder="1" applyProtection="1">
      <protection locked="0"/>
    </xf>
    <xf numFmtId="0" fontId="3" fillId="2" borderId="0" xfId="0" applyFont="1" applyFill="1" applyAlignment="1">
      <alignment horizontal="left" vertical="top"/>
    </xf>
    <xf numFmtId="0" fontId="3" fillId="2" borderId="0" xfId="0" applyFont="1" applyFill="1" applyAlignment="1">
      <alignment horizontal="left" vertical="top" wrapText="1"/>
    </xf>
    <xf numFmtId="0" fontId="6" fillId="2" borderId="0" xfId="0" applyFont="1" applyFill="1"/>
    <xf numFmtId="0" fontId="14" fillId="2" borderId="0" xfId="0" applyFont="1" applyFill="1"/>
    <xf numFmtId="0" fontId="0" fillId="2" borderId="0" xfId="0" applyFill="1" applyAlignment="1">
      <alignment horizontal="left" vertical="top" wrapText="1"/>
    </xf>
    <xf numFmtId="0" fontId="0" fillId="2" borderId="0" xfId="0" applyFill="1" applyAlignment="1">
      <alignment horizontal="left" vertical="top"/>
    </xf>
    <xf numFmtId="0" fontId="0" fillId="2" borderId="2" xfId="0" applyFill="1" applyBorder="1" applyAlignment="1" applyProtection="1">
      <alignment horizontal="left" vertical="top" wrapText="1"/>
      <protection locked="0"/>
    </xf>
    <xf numFmtId="0" fontId="0" fillId="2" borderId="0" xfId="0" applyFill="1" applyAlignment="1">
      <alignment vertical="top" wrapText="1"/>
    </xf>
    <xf numFmtId="0" fontId="13" fillId="2" borderId="0" xfId="0" applyFont="1" applyFill="1"/>
    <xf numFmtId="0" fontId="0" fillId="2" borderId="0" xfId="0" applyFill="1" applyAlignment="1">
      <alignment vertical="top"/>
    </xf>
    <xf numFmtId="0" fontId="0" fillId="2" borderId="0" xfId="0" applyFill="1" applyAlignment="1">
      <alignment horizontal="right"/>
    </xf>
    <xf numFmtId="0" fontId="11" fillId="2" borderId="0" xfId="0" applyFont="1" applyFill="1"/>
    <xf numFmtId="0" fontId="31" fillId="2" borderId="0" xfId="0" applyFont="1" applyFill="1"/>
    <xf numFmtId="0" fontId="0" fillId="2" borderId="5" xfId="0" applyFill="1" applyBorder="1"/>
    <xf numFmtId="0" fontId="0" fillId="2" borderId="14" xfId="0" applyFill="1" applyBorder="1" applyAlignment="1">
      <alignment horizontal="left" vertical="top"/>
    </xf>
    <xf numFmtId="0" fontId="0" fillId="2" borderId="15" xfId="0" applyFill="1" applyBorder="1" applyAlignment="1">
      <alignment horizontal="left" vertical="top"/>
    </xf>
    <xf numFmtId="0" fontId="29" fillId="2" borderId="0" xfId="0" applyFont="1" applyFill="1"/>
    <xf numFmtId="0" fontId="0" fillId="2" borderId="5" xfId="0" applyFill="1" applyBorder="1" applyProtection="1">
      <protection locked="0"/>
    </xf>
    <xf numFmtId="0" fontId="3" fillId="2" borderId="0" xfId="0" applyFont="1" applyFill="1" applyAlignment="1" applyProtection="1">
      <alignment horizontal="center" textRotation="45" wrapText="1"/>
      <protection locked="0"/>
    </xf>
    <xf numFmtId="0" fontId="17" fillId="2" borderId="0" xfId="0" applyFont="1" applyFill="1" applyAlignment="1" applyProtection="1">
      <alignment horizontal="center" textRotation="45" wrapText="1"/>
      <protection locked="0"/>
    </xf>
    <xf numFmtId="0" fontId="18" fillId="2" borderId="0" xfId="0" applyFont="1" applyFill="1" applyAlignment="1" applyProtection="1">
      <alignment horizontal="center" textRotation="45" wrapText="1"/>
      <protection locked="0"/>
    </xf>
    <xf numFmtId="0" fontId="19" fillId="2" borderId="0" xfId="0" applyFont="1" applyFill="1" applyAlignment="1" applyProtection="1">
      <alignment horizontal="center" textRotation="45" wrapText="1"/>
      <protection locked="0"/>
    </xf>
    <xf numFmtId="0" fontId="11" fillId="2" borderId="3" xfId="0" applyFont="1" applyFill="1" applyBorder="1" applyProtection="1">
      <protection locked="0"/>
    </xf>
    <xf numFmtId="0" fontId="32" fillId="2" borderId="0" xfId="0" applyFont="1" applyFill="1"/>
    <xf numFmtId="0" fontId="7" fillId="2" borderId="0" xfId="0" applyFont="1" applyFill="1" applyAlignment="1">
      <alignment horizontal="left" wrapText="1" readingOrder="1"/>
    </xf>
    <xf numFmtId="0" fontId="9" fillId="2" borderId="0" xfId="0" applyFont="1" applyFill="1" applyAlignment="1">
      <alignment horizontal="left" wrapText="1" readingOrder="1"/>
    </xf>
    <xf numFmtId="0" fontId="10" fillId="2" borderId="0" xfId="0" applyFont="1" applyFill="1" applyAlignment="1">
      <alignment wrapText="1"/>
    </xf>
    <xf numFmtId="0" fontId="9" fillId="2" borderId="0" xfId="0" applyFont="1" applyFill="1" applyAlignment="1">
      <alignment horizontal="right" wrapText="1" readingOrder="1"/>
    </xf>
    <xf numFmtId="0" fontId="10" fillId="2" borderId="0" xfId="0" applyFont="1" applyFill="1" applyAlignment="1">
      <alignment horizontal="right" wrapText="1"/>
    </xf>
    <xf numFmtId="0" fontId="10" fillId="2" borderId="0" xfId="0" applyFont="1" applyFill="1" applyAlignment="1">
      <alignment horizontal="left" wrapText="1" readingOrder="1"/>
    </xf>
    <xf numFmtId="0" fontId="9" fillId="2" borderId="2" xfId="0" applyFont="1" applyFill="1" applyBorder="1" applyAlignment="1">
      <alignment horizontal="left" wrapText="1" readingOrder="1"/>
    </xf>
    <xf numFmtId="0" fontId="33" fillId="2" borderId="0" xfId="0" applyFont="1" applyFill="1" applyAlignment="1">
      <alignment horizontal="left" readingOrder="1"/>
    </xf>
    <xf numFmtId="0" fontId="32" fillId="2" borderId="0" xfId="0" applyFont="1" applyFill="1" applyAlignment="1">
      <alignment horizontal="left" readingOrder="1"/>
    </xf>
    <xf numFmtId="0" fontId="10" fillId="2" borderId="0" xfId="0" applyFont="1" applyFill="1" applyAlignment="1">
      <alignment horizontal="right" wrapText="1" readingOrder="1"/>
    </xf>
    <xf numFmtId="0" fontId="10" fillId="2" borderId="1" xfId="0" applyFont="1" applyFill="1" applyBorder="1" applyAlignment="1">
      <alignment horizontal="left" wrapText="1" readingOrder="1"/>
    </xf>
    <xf numFmtId="0" fontId="9" fillId="2" borderId="2" xfId="0" applyFont="1" applyFill="1" applyBorder="1" applyAlignment="1" applyProtection="1">
      <alignment horizontal="right" wrapText="1" readingOrder="1"/>
      <protection locked="0"/>
    </xf>
    <xf numFmtId="0" fontId="10" fillId="2" borderId="2" xfId="0" applyFont="1" applyFill="1" applyBorder="1" applyAlignment="1" applyProtection="1">
      <alignment horizontal="right" wrapText="1" readingOrder="1"/>
      <protection locked="0"/>
    </xf>
    <xf numFmtId="0" fontId="10" fillId="2" borderId="2" xfId="0" applyFont="1" applyFill="1" applyBorder="1" applyAlignment="1" applyProtection="1">
      <alignment wrapText="1"/>
      <protection locked="0"/>
    </xf>
    <xf numFmtId="0" fontId="10" fillId="2" borderId="2" xfId="0" applyFont="1" applyFill="1" applyBorder="1" applyAlignment="1" applyProtection="1">
      <alignment horizontal="left" wrapText="1" readingOrder="1"/>
      <protection locked="0"/>
    </xf>
    <xf numFmtId="0" fontId="26" fillId="2" borderId="0" xfId="0" applyFont="1" applyFill="1" applyAlignment="1">
      <alignment wrapText="1"/>
    </xf>
    <xf numFmtId="0" fontId="10" fillId="2" borderId="19" xfId="0" applyFont="1" applyFill="1" applyBorder="1" applyAlignment="1">
      <alignment horizontal="left" wrapText="1" readingOrder="1"/>
    </xf>
    <xf numFmtId="0" fontId="10" fillId="2" borderId="5" xfId="0" applyFont="1" applyFill="1" applyBorder="1" applyAlignment="1" applyProtection="1">
      <alignment wrapText="1"/>
      <protection locked="0"/>
    </xf>
    <xf numFmtId="0" fontId="9" fillId="2" borderId="5" xfId="0" applyFont="1" applyFill="1" applyBorder="1" applyAlignment="1" applyProtection="1">
      <alignment horizontal="right" wrapText="1" readingOrder="1"/>
      <protection locked="0"/>
    </xf>
    <xf numFmtId="0" fontId="9" fillId="2" borderId="17" xfId="0" applyFont="1" applyFill="1" applyBorder="1" applyAlignment="1">
      <alignment horizontal="left" wrapText="1" readingOrder="1"/>
    </xf>
    <xf numFmtId="0" fontId="9" fillId="2" borderId="20" xfId="0" applyFont="1" applyFill="1" applyBorder="1" applyAlignment="1" applyProtection="1">
      <alignment horizontal="right" wrapText="1" readingOrder="1"/>
      <protection locked="0"/>
    </xf>
    <xf numFmtId="0" fontId="9" fillId="2" borderId="20" xfId="0" applyFont="1" applyFill="1" applyBorder="1" applyAlignment="1" applyProtection="1">
      <alignment horizontal="left" wrapText="1" readingOrder="1"/>
      <protection locked="0"/>
    </xf>
    <xf numFmtId="0" fontId="9" fillId="2" borderId="2" xfId="0" applyFont="1" applyFill="1" applyBorder="1" applyAlignment="1">
      <alignment horizontal="center" wrapText="1" readingOrder="1"/>
    </xf>
    <xf numFmtId="0" fontId="26" fillId="2" borderId="2" xfId="0" applyFont="1" applyFill="1" applyBorder="1" applyAlignment="1">
      <alignment horizontal="left" wrapText="1" readingOrder="1"/>
    </xf>
    <xf numFmtId="0" fontId="7" fillId="2" borderId="2" xfId="0" applyFont="1" applyFill="1" applyBorder="1" applyAlignment="1">
      <alignment horizontal="left" wrapText="1" readingOrder="1"/>
    </xf>
    <xf numFmtId="0" fontId="7" fillId="2" borderId="5" xfId="0" applyFont="1" applyFill="1" applyBorder="1" applyAlignment="1">
      <alignment horizontal="left" wrapText="1" readingOrder="1"/>
    </xf>
    <xf numFmtId="0" fontId="9" fillId="2" borderId="5" xfId="0" applyFont="1" applyFill="1" applyBorder="1" applyAlignment="1">
      <alignment horizontal="center" wrapText="1" readingOrder="1"/>
    </xf>
    <xf numFmtId="0" fontId="11" fillId="2" borderId="0" xfId="0" applyFont="1" applyFill="1" applyAlignment="1">
      <alignment horizontal="left" wrapText="1"/>
    </xf>
    <xf numFmtId="0" fontId="0" fillId="2" borderId="9" xfId="0" applyFill="1" applyBorder="1"/>
    <xf numFmtId="0" fontId="0" fillId="2" borderId="7" xfId="0" applyFill="1" applyBorder="1" applyProtection="1">
      <protection locked="0"/>
    </xf>
    <xf numFmtId="0" fontId="0" fillId="2" borderId="6" xfId="0" applyFill="1" applyBorder="1"/>
    <xf numFmtId="0" fontId="0" fillId="2" borderId="21" xfId="0" applyFill="1" applyBorder="1"/>
    <xf numFmtId="165" fontId="0" fillId="2" borderId="2" xfId="0" applyNumberFormat="1" applyFill="1" applyBorder="1" applyProtection="1">
      <protection locked="0"/>
    </xf>
    <xf numFmtId="2" fontId="0" fillId="2" borderId="2" xfId="0" applyNumberFormat="1" applyFill="1" applyBorder="1" applyProtection="1">
      <protection locked="0"/>
    </xf>
    <xf numFmtId="166" fontId="0" fillId="2" borderId="2" xfId="0" applyNumberFormat="1" applyFill="1" applyBorder="1" applyProtection="1">
      <protection locked="0"/>
    </xf>
    <xf numFmtId="2" fontId="0" fillId="2" borderId="3" xfId="0" applyNumberFormat="1" applyFill="1" applyBorder="1" applyProtection="1">
      <protection locked="0"/>
    </xf>
    <xf numFmtId="2" fontId="0" fillId="2" borderId="7" xfId="0" applyNumberFormat="1" applyFill="1" applyBorder="1" applyProtection="1">
      <protection locked="0"/>
    </xf>
    <xf numFmtId="1" fontId="0" fillId="2" borderId="9" xfId="0" applyNumberFormat="1" applyFill="1" applyBorder="1"/>
    <xf numFmtId="0" fontId="0" fillId="2" borderId="0" xfId="0" applyFill="1" applyAlignment="1" applyProtection="1">
      <alignment horizontal="center" vertical="center"/>
      <protection locked="0"/>
    </xf>
    <xf numFmtId="1" fontId="0" fillId="2" borderId="0" xfId="0" applyNumberFormat="1" applyFill="1" applyAlignment="1" applyProtection="1">
      <alignment horizontal="center" vertical="center"/>
      <protection locked="0"/>
    </xf>
    <xf numFmtId="165" fontId="0" fillId="2" borderId="0" xfId="0" applyNumberFormat="1" applyFill="1" applyAlignment="1" applyProtection="1">
      <alignment horizontal="center" vertical="center"/>
      <protection locked="0"/>
    </xf>
    <xf numFmtId="167" fontId="0" fillId="2" borderId="2" xfId="0" applyNumberFormat="1" applyFill="1" applyBorder="1" applyProtection="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1" fontId="0" fillId="0" borderId="0" xfId="0" applyNumberFormat="1" applyProtection="1">
      <protection locked="0"/>
    </xf>
    <xf numFmtId="1" fontId="0" fillId="0" borderId="0" xfId="0" applyNumberFormat="1" applyAlignment="1" applyProtection="1">
      <alignment horizontal="center" vertical="center"/>
      <protection locked="0"/>
    </xf>
    <xf numFmtId="2" fontId="0" fillId="0" borderId="0" xfId="0" applyNumberFormat="1" applyAlignment="1" applyProtection="1">
      <alignment horizontal="center" vertical="center"/>
      <protection locked="0"/>
    </xf>
    <xf numFmtId="168" fontId="0" fillId="2" borderId="0" xfId="0" applyNumberFormat="1" applyFill="1" applyProtection="1">
      <protection locked="0"/>
    </xf>
    <xf numFmtId="0" fontId="20" fillId="2" borderId="0" xfId="0" applyFont="1" applyFill="1" applyAlignment="1" applyProtection="1">
      <alignment horizontal="center" vertical="center" wrapText="1"/>
      <protection locked="0"/>
    </xf>
    <xf numFmtId="0" fontId="5"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wrapText="1"/>
      <protection locked="0"/>
    </xf>
    <xf numFmtId="0" fontId="25" fillId="2" borderId="0" xfId="0" applyFont="1" applyFill="1" applyAlignment="1" applyProtection="1">
      <alignment horizontal="center" vertical="center" wrapText="1"/>
      <protection locked="0"/>
    </xf>
    <xf numFmtId="0" fontId="23" fillId="2" borderId="0" xfId="0" applyFont="1" applyFill="1" applyAlignment="1" applyProtection="1">
      <alignment horizontal="center" vertical="center" wrapText="1"/>
      <protection locked="0"/>
    </xf>
    <xf numFmtId="0" fontId="24" fillId="2" borderId="0" xfId="0" applyFont="1" applyFill="1" applyAlignment="1" applyProtection="1">
      <alignment horizontal="center" vertical="center" wrapText="1"/>
      <protection locked="0"/>
    </xf>
    <xf numFmtId="0" fontId="21" fillId="2" borderId="0" xfId="0" applyFont="1" applyFill="1" applyAlignment="1" applyProtection="1">
      <alignment horizontal="center" vertical="center" wrapText="1"/>
      <protection locked="0"/>
    </xf>
    <xf numFmtId="169" fontId="0" fillId="0" borderId="0" xfId="0" quotePrefix="1" applyNumberFormat="1"/>
    <xf numFmtId="165" fontId="0" fillId="0" borderId="0" xfId="0" applyNumberFormat="1"/>
    <xf numFmtId="166" fontId="0" fillId="0" borderId="0" xfId="0" applyNumberFormat="1"/>
    <xf numFmtId="1" fontId="0" fillId="0" borderId="0" xfId="0" applyNumberFormat="1"/>
    <xf numFmtId="1" fontId="0" fillId="0" borderId="5" xfId="0" applyNumberFormat="1" applyBorder="1" applyProtection="1">
      <protection locked="0"/>
    </xf>
    <xf numFmtId="1" fontId="0" fillId="0" borderId="2" xfId="0" applyNumberFormat="1" applyBorder="1" applyProtection="1">
      <protection locked="0"/>
    </xf>
    <xf numFmtId="0" fontId="3" fillId="2" borderId="21" xfId="0" applyFont="1" applyFill="1" applyBorder="1" applyAlignment="1">
      <alignment wrapText="1"/>
    </xf>
    <xf numFmtId="1" fontId="0" fillId="2" borderId="2" xfId="0" applyNumberFormat="1" applyFill="1" applyBorder="1"/>
    <xf numFmtId="168" fontId="0" fillId="2" borderId="2" xfId="0" applyNumberFormat="1" applyFill="1" applyBorder="1" applyProtection="1">
      <protection locked="0"/>
    </xf>
    <xf numFmtId="2" fontId="0" fillId="2" borderId="2" xfId="0" applyNumberFormat="1" applyFill="1" applyBorder="1"/>
    <xf numFmtId="2" fontId="9" fillId="2" borderId="0" xfId="0" applyNumberFormat="1" applyFont="1" applyFill="1" applyAlignment="1">
      <alignment horizontal="right" wrapText="1" readingOrder="1"/>
    </xf>
    <xf numFmtId="2" fontId="10" fillId="2" borderId="2" xfId="0" applyNumberFormat="1" applyFont="1" applyFill="1" applyBorder="1" applyAlignment="1" applyProtection="1">
      <alignment horizontal="right" wrapText="1" readingOrder="1"/>
      <protection locked="0"/>
    </xf>
    <xf numFmtId="2" fontId="10" fillId="2" borderId="20" xfId="0" applyNumberFormat="1" applyFont="1" applyFill="1" applyBorder="1" applyAlignment="1" applyProtection="1">
      <alignment horizontal="right" wrapText="1" readingOrder="1"/>
      <protection locked="0"/>
    </xf>
    <xf numFmtId="2" fontId="9" fillId="2" borderId="2" xfId="0" applyNumberFormat="1" applyFont="1" applyFill="1" applyBorder="1" applyAlignment="1" applyProtection="1">
      <alignment horizontal="right" wrapText="1" readingOrder="1"/>
      <protection locked="0"/>
    </xf>
    <xf numFmtId="165" fontId="9" fillId="2" borderId="2" xfId="0" applyNumberFormat="1" applyFont="1" applyFill="1" applyBorder="1" applyAlignment="1" applyProtection="1">
      <alignment horizontal="right" wrapText="1" readingOrder="1"/>
      <protection locked="0"/>
    </xf>
    <xf numFmtId="166" fontId="9" fillId="2" borderId="5" xfId="0" applyNumberFormat="1" applyFont="1" applyFill="1" applyBorder="1" applyAlignment="1" applyProtection="1">
      <alignment horizontal="right" wrapText="1" readingOrder="1"/>
      <protection locked="0"/>
    </xf>
    <xf numFmtId="2" fontId="10" fillId="2" borderId="0" xfId="0" applyNumberFormat="1" applyFont="1" applyFill="1"/>
    <xf numFmtId="166" fontId="10" fillId="2" borderId="2" xfId="0" applyNumberFormat="1" applyFont="1" applyFill="1" applyBorder="1" applyAlignment="1" applyProtection="1">
      <alignment horizontal="right" wrapText="1" readingOrder="1"/>
      <protection locked="0"/>
    </xf>
    <xf numFmtId="165" fontId="10" fillId="2" borderId="0" xfId="0" applyNumberFormat="1" applyFont="1" applyFill="1" applyAlignment="1">
      <alignment horizontal="right" wrapText="1" readingOrder="1"/>
    </xf>
    <xf numFmtId="165" fontId="10" fillId="2" borderId="1" xfId="0" applyNumberFormat="1" applyFont="1" applyFill="1" applyBorder="1" applyAlignment="1">
      <alignment horizontal="right" wrapText="1" readingOrder="1"/>
    </xf>
    <xf numFmtId="2" fontId="10" fillId="2" borderId="5" xfId="0" applyNumberFormat="1" applyFont="1" applyFill="1" applyBorder="1" applyAlignment="1" applyProtection="1">
      <alignment horizontal="right" wrapText="1" readingOrder="1"/>
      <protection locked="0"/>
    </xf>
    <xf numFmtId="165" fontId="0" fillId="2" borderId="2" xfId="0" applyNumberFormat="1" applyFill="1" applyBorder="1"/>
    <xf numFmtId="0" fontId="9" fillId="2" borderId="3" xfId="0" applyFont="1" applyFill="1" applyBorder="1" applyAlignment="1" applyProtection="1">
      <alignment horizontal="right" wrapText="1" readingOrder="1"/>
      <protection locked="0"/>
    </xf>
    <xf numFmtId="0" fontId="10" fillId="2" borderId="3" xfId="0" applyFont="1" applyFill="1" applyBorder="1" applyAlignment="1" applyProtection="1">
      <alignment wrapText="1"/>
      <protection locked="0"/>
    </xf>
    <xf numFmtId="165" fontId="0" fillId="0" borderId="2" xfId="0" applyNumberFormat="1" applyBorder="1"/>
    <xf numFmtId="167" fontId="9" fillId="2" borderId="2" xfId="0" applyNumberFormat="1" applyFont="1" applyFill="1" applyBorder="1" applyAlignment="1" applyProtection="1">
      <alignment horizontal="right" wrapText="1" readingOrder="1"/>
      <protection locked="0"/>
    </xf>
    <xf numFmtId="165" fontId="9" fillId="2" borderId="5" xfId="0" applyNumberFormat="1" applyFont="1" applyFill="1" applyBorder="1" applyAlignment="1" applyProtection="1">
      <alignment horizontal="right" wrapText="1" readingOrder="1"/>
      <protection locked="0"/>
    </xf>
    <xf numFmtId="0" fontId="0" fillId="0" borderId="0" xfId="1" applyNumberFormat="1" applyFont="1"/>
    <xf numFmtId="2" fontId="0" fillId="0" borderId="0" xfId="0" applyNumberFormat="1"/>
    <xf numFmtId="0" fontId="10" fillId="3" borderId="0" xfId="0" applyFont="1" applyFill="1" applyAlignment="1">
      <alignment horizontal="right" wrapText="1"/>
    </xf>
    <xf numFmtId="0" fontId="10" fillId="4" borderId="2" xfId="0" applyFont="1" applyFill="1" applyBorder="1" applyAlignment="1" applyProtection="1">
      <alignment horizontal="right" wrapText="1" readingOrder="1"/>
      <protection locked="0"/>
    </xf>
    <xf numFmtId="0" fontId="9" fillId="4" borderId="2" xfId="0" applyFont="1" applyFill="1" applyBorder="1" applyAlignment="1" applyProtection="1">
      <alignment horizontal="right" wrapText="1" readingOrder="1"/>
      <protection locked="0"/>
    </xf>
    <xf numFmtId="16" fontId="0" fillId="0" borderId="0" xfId="0" quotePrefix="1" applyNumberFormat="1"/>
    <xf numFmtId="0" fontId="0" fillId="0" borderId="0" xfId="0" quotePrefix="1"/>
    <xf numFmtId="2" fontId="0" fillId="2" borderId="0" xfId="0" applyNumberFormat="1" applyFill="1"/>
    <xf numFmtId="2" fontId="0" fillId="5" borderId="2" xfId="0" applyNumberFormat="1" applyFill="1" applyBorder="1" applyProtection="1">
      <protection locked="0"/>
    </xf>
    <xf numFmtId="165" fontId="0" fillId="5" borderId="2" xfId="0" applyNumberFormat="1" applyFill="1" applyBorder="1" applyProtection="1">
      <protection locked="0"/>
    </xf>
    <xf numFmtId="2" fontId="9" fillId="4" borderId="2" xfId="0" applyNumberFormat="1" applyFont="1" applyFill="1" applyBorder="1" applyAlignment="1" applyProtection="1">
      <alignment horizontal="right" wrapText="1" readingOrder="1"/>
      <protection locked="0"/>
    </xf>
    <xf numFmtId="0" fontId="37" fillId="0" borderId="0" xfId="2"/>
    <xf numFmtId="0" fontId="0" fillId="4" borderId="0" xfId="0" applyFill="1"/>
    <xf numFmtId="0" fontId="0" fillId="7" borderId="0" xfId="0" applyFill="1"/>
    <xf numFmtId="2" fontId="0" fillId="6" borderId="0" xfId="0" applyNumberFormat="1" applyFill="1"/>
    <xf numFmtId="0" fontId="0" fillId="2" borderId="22" xfId="0" applyFill="1" applyBorder="1"/>
    <xf numFmtId="0" fontId="0" fillId="0" borderId="22" xfId="0" applyBorder="1"/>
    <xf numFmtId="2" fontId="0" fillId="2" borderId="22" xfId="0" applyNumberFormat="1" applyFill="1" applyBorder="1"/>
    <xf numFmtId="0" fontId="0" fillId="4" borderId="22" xfId="0" applyFill="1" applyBorder="1"/>
    <xf numFmtId="0" fontId="0" fillId="8" borderId="0" xfId="0" applyFill="1"/>
    <xf numFmtId="0" fontId="0" fillId="8" borderId="22" xfId="0" applyFill="1" applyBorder="1"/>
    <xf numFmtId="0" fontId="0" fillId="8" borderId="23" xfId="0" applyFill="1" applyBorder="1"/>
    <xf numFmtId="0" fontId="39" fillId="0" borderId="0" xfId="0" applyFont="1"/>
    <xf numFmtId="0" fontId="40" fillId="0" borderId="0" xfId="0" applyFont="1"/>
    <xf numFmtId="0" fontId="6"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5" fillId="0" borderId="22" xfId="0" applyFont="1" applyBorder="1"/>
    <xf numFmtId="0" fontId="40" fillId="0" borderId="22" xfId="0" applyFont="1" applyBorder="1"/>
    <xf numFmtId="0" fontId="46" fillId="0" borderId="0" xfId="0" applyFont="1"/>
    <xf numFmtId="0" fontId="46" fillId="8" borderId="0" xfId="0" applyFont="1" applyFill="1"/>
    <xf numFmtId="0" fontId="0" fillId="2" borderId="0" xfId="0" quotePrefix="1" applyFill="1"/>
    <xf numFmtId="0" fontId="0" fillId="0" borderId="0" xfId="0" applyAlignment="1">
      <alignment horizontal="center"/>
    </xf>
    <xf numFmtId="0" fontId="0" fillId="0" borderId="2" xfId="0" applyBorder="1"/>
    <xf numFmtId="0" fontId="0" fillId="9" borderId="0" xfId="0" applyFill="1"/>
    <xf numFmtId="0" fontId="10" fillId="5" borderId="2" xfId="0" applyFont="1" applyFill="1" applyBorder="1" applyAlignment="1" applyProtection="1">
      <alignment horizontal="right" wrapText="1" readingOrder="1"/>
      <protection locked="0"/>
    </xf>
    <xf numFmtId="2" fontId="10" fillId="4" borderId="2" xfId="0" applyNumberFormat="1" applyFont="1" applyFill="1" applyBorder="1" applyAlignment="1" applyProtection="1">
      <alignment horizontal="right" wrapText="1" readingOrder="1"/>
      <protection locked="0"/>
    </xf>
    <xf numFmtId="2" fontId="9" fillId="5" borderId="2" xfId="0" applyNumberFormat="1" applyFont="1" applyFill="1" applyBorder="1" applyAlignment="1" applyProtection="1">
      <alignment horizontal="right" wrapText="1" readingOrder="1"/>
      <protection locked="0"/>
    </xf>
    <xf numFmtId="2" fontId="10" fillId="5" borderId="20" xfId="0" applyNumberFormat="1" applyFont="1" applyFill="1" applyBorder="1" applyAlignment="1" applyProtection="1">
      <alignment horizontal="right" wrapText="1" readingOrder="1"/>
      <protection locked="0"/>
    </xf>
    <xf numFmtId="0" fontId="10" fillId="2" borderId="24" xfId="0" applyFont="1" applyFill="1" applyBorder="1" applyAlignment="1">
      <alignment horizontal="left" wrapText="1" readingOrder="1"/>
    </xf>
    <xf numFmtId="1" fontId="0" fillId="5" borderId="2" xfId="0" applyNumberFormat="1" applyFill="1" applyBorder="1" applyProtection="1">
      <protection locked="0"/>
    </xf>
    <xf numFmtId="1" fontId="0" fillId="4" borderId="2" xfId="0" applyNumberFormat="1" applyFill="1" applyBorder="1" applyProtection="1">
      <protection locked="0"/>
    </xf>
    <xf numFmtId="0" fontId="0" fillId="5" borderId="2" xfId="0" applyFill="1" applyBorder="1" applyProtection="1">
      <protection locked="0"/>
    </xf>
    <xf numFmtId="0" fontId="0" fillId="4" borderId="2" xfId="0" applyFill="1" applyBorder="1" applyProtection="1">
      <protection locked="0"/>
    </xf>
    <xf numFmtId="166" fontId="0" fillId="4" borderId="0" xfId="0" applyNumberFormat="1" applyFill="1"/>
    <xf numFmtId="0" fontId="9" fillId="5" borderId="2" xfId="0" applyFont="1" applyFill="1" applyBorder="1" applyAlignment="1" applyProtection="1">
      <alignment horizontal="right" wrapText="1" readingOrder="1"/>
      <protection locked="0"/>
    </xf>
    <xf numFmtId="2" fontId="10" fillId="5" borderId="2" xfId="0" applyNumberFormat="1" applyFont="1" applyFill="1" applyBorder="1" applyAlignment="1" applyProtection="1">
      <alignment horizontal="right" wrapText="1" readingOrder="1"/>
      <protection locked="0"/>
    </xf>
    <xf numFmtId="0" fontId="9" fillId="11" borderId="2" xfId="0" applyFont="1" applyFill="1" applyBorder="1" applyAlignment="1" applyProtection="1">
      <alignment horizontal="right" wrapText="1" readingOrder="1"/>
      <protection locked="0"/>
    </xf>
    <xf numFmtId="0" fontId="3" fillId="0" borderId="0" xfId="0" applyFont="1"/>
    <xf numFmtId="0" fontId="0" fillId="0" borderId="25" xfId="0" applyBorder="1"/>
    <xf numFmtId="0" fontId="3" fillId="0" borderId="29" xfId="0" applyFont="1" applyBorder="1" applyAlignment="1">
      <alignment horizontal="center"/>
    </xf>
    <xf numFmtId="0" fontId="3" fillId="0" borderId="30" xfId="0" applyFont="1" applyBorder="1" applyAlignment="1">
      <alignment horizontal="center"/>
    </xf>
    <xf numFmtId="0" fontId="3" fillId="0" borderId="31" xfId="0" applyFont="1" applyBorder="1" applyAlignment="1">
      <alignment horizontal="center"/>
    </xf>
    <xf numFmtId="0" fontId="0" fillId="0" borderId="32" xfId="0" applyBorder="1"/>
    <xf numFmtId="0" fontId="0" fillId="0" borderId="33" xfId="0" applyBorder="1"/>
    <xf numFmtId="0" fontId="0" fillId="0" borderId="29" xfId="0" applyBorder="1"/>
    <xf numFmtId="0" fontId="0" fillId="0" borderId="31" xfId="0" applyBorder="1"/>
    <xf numFmtId="0" fontId="0" fillId="0" borderId="34" xfId="0" applyBorder="1"/>
    <xf numFmtId="0" fontId="0" fillId="0" borderId="35" xfId="0" applyBorder="1"/>
    <xf numFmtId="0" fontId="0" fillId="0" borderId="36" xfId="0" applyBorder="1"/>
    <xf numFmtId="0" fontId="0" fillId="7" borderId="25" xfId="0" applyFill="1" applyBorder="1"/>
    <xf numFmtId="0" fontId="0" fillId="7" borderId="30" xfId="0" applyFill="1" applyBorder="1"/>
    <xf numFmtId="0" fontId="0" fillId="5" borderId="25" xfId="0" applyFill="1" applyBorder="1"/>
    <xf numFmtId="0" fontId="0" fillId="7" borderId="37" xfId="0" applyFill="1" applyBorder="1"/>
    <xf numFmtId="0" fontId="0" fillId="4" borderId="2" xfId="0" applyFill="1" applyBorder="1"/>
    <xf numFmtId="165" fontId="9" fillId="4" borderId="2" xfId="0" applyNumberFormat="1" applyFont="1" applyFill="1" applyBorder="1" applyAlignment="1" applyProtection="1">
      <alignment horizontal="right" wrapText="1" readingOrder="1"/>
      <protection locked="0"/>
    </xf>
    <xf numFmtId="2" fontId="9" fillId="2" borderId="5" xfId="0" applyNumberFormat="1" applyFont="1" applyFill="1" applyBorder="1" applyAlignment="1" applyProtection="1">
      <alignment horizontal="right" wrapText="1" readingOrder="1"/>
      <protection locked="0"/>
    </xf>
    <xf numFmtId="0" fontId="10" fillId="2" borderId="2" xfId="0" applyFont="1" applyFill="1" applyBorder="1" applyAlignment="1">
      <alignment horizontal="left" wrapText="1" readingOrder="1"/>
    </xf>
    <xf numFmtId="2" fontId="10" fillId="2" borderId="10" xfId="0" applyNumberFormat="1" applyFont="1" applyFill="1" applyBorder="1" applyAlignment="1" applyProtection="1">
      <alignment horizontal="right" wrapText="1" readingOrder="1"/>
      <protection locked="0"/>
    </xf>
    <xf numFmtId="0" fontId="10" fillId="2" borderId="3" xfId="0" applyFont="1" applyFill="1" applyBorder="1" applyAlignment="1">
      <alignment horizontal="left" wrapText="1" readingOrder="1"/>
    </xf>
    <xf numFmtId="1" fontId="0" fillId="4" borderId="0" xfId="0" applyNumberFormat="1" applyFill="1"/>
    <xf numFmtId="0" fontId="3" fillId="0" borderId="38" xfId="0" applyFont="1" applyBorder="1" applyAlignment="1">
      <alignment horizontal="center"/>
    </xf>
    <xf numFmtId="0" fontId="3" fillId="0" borderId="37" xfId="0" applyFont="1" applyBorder="1" applyAlignment="1">
      <alignment horizontal="center"/>
    </xf>
    <xf numFmtId="0" fontId="3" fillId="0" borderId="39" xfId="0" applyFont="1" applyBorder="1" applyAlignment="1">
      <alignment horizontal="center"/>
    </xf>
    <xf numFmtId="0" fontId="0" fillId="0" borderId="26" xfId="0" applyBorder="1"/>
    <xf numFmtId="0" fontId="0" fillId="0" borderId="28" xfId="0" applyBorder="1"/>
    <xf numFmtId="0" fontId="49" fillId="0" borderId="0" xfId="0" applyFont="1"/>
    <xf numFmtId="0" fontId="0" fillId="5" borderId="27" xfId="0" applyFill="1" applyBorder="1"/>
    <xf numFmtId="0" fontId="10" fillId="2" borderId="3" xfId="0" applyFont="1" applyFill="1" applyBorder="1" applyAlignment="1" applyProtection="1">
      <alignment horizontal="left" wrapText="1" readingOrder="1"/>
      <protection locked="0"/>
    </xf>
    <xf numFmtId="0" fontId="10" fillId="2" borderId="2" xfId="0" applyFont="1" applyFill="1" applyBorder="1"/>
    <xf numFmtId="0" fontId="10" fillId="2" borderId="21" xfId="0" applyFont="1" applyFill="1" applyBorder="1" applyAlignment="1">
      <alignment horizontal="left" wrapText="1" readingOrder="1"/>
    </xf>
    <xf numFmtId="2" fontId="10" fillId="2" borderId="2" xfId="0" applyNumberFormat="1" applyFont="1" applyFill="1" applyBorder="1"/>
    <xf numFmtId="2" fontId="0" fillId="0" borderId="2" xfId="0" applyNumberFormat="1" applyBorder="1"/>
    <xf numFmtId="0" fontId="1" fillId="0" borderId="0" xfId="0" applyFont="1"/>
    <xf numFmtId="0" fontId="10" fillId="0" borderId="0" xfId="0" applyFont="1" applyAlignment="1">
      <alignment horizontal="left" wrapText="1" readingOrder="1"/>
    </xf>
    <xf numFmtId="0" fontId="0" fillId="5" borderId="2" xfId="0" applyFill="1" applyBorder="1"/>
    <xf numFmtId="165" fontId="0" fillId="2" borderId="21" xfId="0" applyNumberFormat="1" applyFill="1" applyBorder="1"/>
    <xf numFmtId="165" fontId="10" fillId="2" borderId="0" xfId="0" applyNumberFormat="1" applyFont="1" applyFill="1"/>
    <xf numFmtId="165" fontId="0" fillId="2" borderId="0" xfId="0" applyNumberFormat="1" applyFill="1"/>
    <xf numFmtId="167" fontId="0" fillId="0" borderId="0" xfId="0" applyNumberFormat="1"/>
    <xf numFmtId="10" fontId="0" fillId="0" borderId="0" xfId="0" applyNumberFormat="1"/>
    <xf numFmtId="0" fontId="0" fillId="11" borderId="0" xfId="0" applyFill="1"/>
    <xf numFmtId="2" fontId="0" fillId="11" borderId="0" xfId="0" applyNumberFormat="1" applyFill="1"/>
    <xf numFmtId="0" fontId="0" fillId="6" borderId="0" xfId="0" applyFill="1"/>
    <xf numFmtId="165" fontId="0" fillId="5" borderId="25" xfId="0" applyNumberFormat="1" applyFill="1" applyBorder="1"/>
    <xf numFmtId="2" fontId="0" fillId="5" borderId="25" xfId="0" applyNumberFormat="1" applyFill="1" applyBorder="1"/>
    <xf numFmtId="165" fontId="0" fillId="7" borderId="25" xfId="0" applyNumberFormat="1" applyFill="1" applyBorder="1"/>
    <xf numFmtId="165" fontId="0" fillId="4" borderId="25" xfId="0" applyNumberFormat="1" applyFill="1" applyBorder="1"/>
    <xf numFmtId="165" fontId="10" fillId="5" borderId="25" xfId="0" applyNumberFormat="1" applyFont="1" applyFill="1" applyBorder="1"/>
    <xf numFmtId="0" fontId="9" fillId="0" borderId="0" xfId="0" applyFont="1"/>
    <xf numFmtId="0" fontId="3" fillId="8" borderId="40" xfId="0" applyFont="1" applyFill="1" applyBorder="1"/>
    <xf numFmtId="0" fontId="3" fillId="8" borderId="41" xfId="0" applyFont="1" applyFill="1" applyBorder="1"/>
    <xf numFmtId="0" fontId="3" fillId="8" borderId="42" xfId="0" applyFont="1" applyFill="1" applyBorder="1"/>
    <xf numFmtId="0" fontId="0" fillId="0" borderId="30" xfId="0" applyBorder="1"/>
    <xf numFmtId="0" fontId="0" fillId="0" borderId="38" xfId="0" applyBorder="1"/>
    <xf numFmtId="165" fontId="0" fillId="5" borderId="37" xfId="0" applyNumberFormat="1" applyFill="1" applyBorder="1"/>
    <xf numFmtId="0" fontId="0" fillId="0" borderId="39" xfId="0" applyBorder="1"/>
    <xf numFmtId="0" fontId="0" fillId="0" borderId="27" xfId="0" applyBorder="1"/>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6" fillId="0" borderId="33" xfId="0" applyFont="1" applyBorder="1"/>
    <xf numFmtId="165" fontId="0" fillId="4" borderId="2" xfId="0" applyNumberFormat="1" applyFill="1" applyBorder="1"/>
    <xf numFmtId="0" fontId="10" fillId="4" borderId="0" xfId="0" applyFont="1" applyFill="1" applyAlignment="1">
      <alignment horizontal="left" wrapText="1" readingOrder="1"/>
    </xf>
    <xf numFmtId="165" fontId="10" fillId="4" borderId="0" xfId="0" applyNumberFormat="1" applyFont="1" applyFill="1" applyAlignment="1">
      <alignment horizontal="right" wrapText="1" readingOrder="1"/>
    </xf>
    <xf numFmtId="2" fontId="10" fillId="4" borderId="5" xfId="0" applyNumberFormat="1" applyFont="1" applyFill="1" applyBorder="1" applyAlignment="1" applyProtection="1">
      <alignment horizontal="right" wrapText="1" readingOrder="1"/>
      <protection locked="0"/>
    </xf>
    <xf numFmtId="0" fontId="10" fillId="0" borderId="0" xfId="0" applyFont="1" applyAlignment="1">
      <alignment horizontal="right" wrapText="1"/>
    </xf>
    <xf numFmtId="0" fontId="9" fillId="0" borderId="2" xfId="0" applyFont="1" applyBorder="1" applyAlignment="1" applyProtection="1">
      <alignment horizontal="right" wrapText="1" readingOrder="1"/>
      <protection locked="0"/>
    </xf>
    <xf numFmtId="0" fontId="7" fillId="2" borderId="20" xfId="0" applyFont="1" applyFill="1" applyBorder="1" applyAlignment="1">
      <alignment horizontal="center" wrapText="1" readingOrder="1"/>
    </xf>
    <xf numFmtId="0" fontId="0" fillId="0" borderId="0" xfId="0" applyAlignment="1">
      <alignment horizontal="center" wrapText="1"/>
    </xf>
    <xf numFmtId="0" fontId="0" fillId="11" borderId="11" xfId="0" applyFill="1" applyBorder="1" applyAlignment="1">
      <alignment horizontal="center" wrapText="1"/>
    </xf>
    <xf numFmtId="0" fontId="0" fillId="11" borderId="12" xfId="0" applyFill="1" applyBorder="1" applyAlignment="1">
      <alignment horizontal="center" wrapText="1"/>
    </xf>
    <xf numFmtId="0" fontId="0" fillId="11" borderId="13" xfId="0" applyFill="1" applyBorder="1" applyAlignment="1">
      <alignment horizontal="center" wrapText="1"/>
    </xf>
    <xf numFmtId="0" fontId="0" fillId="11" borderId="16" xfId="0" applyFill="1" applyBorder="1" applyAlignment="1">
      <alignment horizontal="center" wrapText="1"/>
    </xf>
    <xf numFmtId="0" fontId="0" fillId="11" borderId="17" xfId="0" applyFill="1" applyBorder="1" applyAlignment="1">
      <alignment horizontal="center" wrapText="1"/>
    </xf>
    <xf numFmtId="0" fontId="0" fillId="11" borderId="18" xfId="0" applyFill="1" applyBorder="1" applyAlignment="1">
      <alignment horizontal="center" wrapText="1"/>
    </xf>
    <xf numFmtId="0" fontId="0" fillId="4" borderId="11" xfId="0" applyFill="1" applyBorder="1" applyAlignment="1">
      <alignment horizontal="center" wrapText="1"/>
    </xf>
    <xf numFmtId="0" fontId="0" fillId="4" borderId="12" xfId="0" applyFill="1" applyBorder="1" applyAlignment="1">
      <alignment horizontal="center" wrapText="1"/>
    </xf>
    <xf numFmtId="0" fontId="0" fillId="4" borderId="13" xfId="0" applyFill="1" applyBorder="1" applyAlignment="1">
      <alignment horizontal="center" wrapText="1"/>
    </xf>
    <xf numFmtId="0" fontId="0" fillId="4" borderId="14" xfId="0" applyFill="1" applyBorder="1" applyAlignment="1">
      <alignment horizontal="center" wrapText="1"/>
    </xf>
    <xf numFmtId="0" fontId="0" fillId="4" borderId="0" xfId="0" applyFill="1" applyAlignment="1">
      <alignment horizontal="center" wrapText="1"/>
    </xf>
    <xf numFmtId="0" fontId="0" fillId="4" borderId="15" xfId="0" applyFill="1" applyBorder="1" applyAlignment="1">
      <alignment horizontal="center" wrapText="1"/>
    </xf>
    <xf numFmtId="0" fontId="0" fillId="4" borderId="16" xfId="0" applyFill="1" applyBorder="1" applyAlignment="1">
      <alignment horizontal="center" wrapText="1"/>
    </xf>
    <xf numFmtId="0" fontId="0" fillId="4" borderId="17" xfId="0" applyFill="1" applyBorder="1" applyAlignment="1">
      <alignment horizontal="center" wrapText="1"/>
    </xf>
    <xf numFmtId="0" fontId="0" fillId="4" borderId="18" xfId="0" applyFill="1" applyBorder="1" applyAlignment="1">
      <alignment horizontal="center" wrapText="1"/>
    </xf>
    <xf numFmtId="0" fontId="0" fillId="6" borderId="11" xfId="0" applyFill="1" applyBorder="1" applyAlignment="1">
      <alignment horizontal="center" wrapText="1"/>
    </xf>
    <xf numFmtId="0" fontId="0" fillId="6" borderId="12" xfId="0" applyFill="1" applyBorder="1" applyAlignment="1">
      <alignment horizontal="center" wrapText="1"/>
    </xf>
    <xf numFmtId="0" fontId="0" fillId="6" borderId="13" xfId="0" applyFill="1" applyBorder="1" applyAlignment="1">
      <alignment horizontal="center" wrapText="1"/>
    </xf>
    <xf numFmtId="0" fontId="0" fillId="6" borderId="16" xfId="0" applyFill="1" applyBorder="1" applyAlignment="1">
      <alignment horizontal="center" wrapText="1"/>
    </xf>
    <xf numFmtId="0" fontId="0" fillId="6" borderId="17" xfId="0" applyFill="1" applyBorder="1" applyAlignment="1">
      <alignment horizontal="center" wrapText="1"/>
    </xf>
    <xf numFmtId="0" fontId="0" fillId="6" borderId="18" xfId="0" applyFill="1" applyBorder="1" applyAlignment="1">
      <alignment horizontal="center" wrapText="1"/>
    </xf>
    <xf numFmtId="0" fontId="0" fillId="7" borderId="11" xfId="0" applyFill="1" applyBorder="1" applyAlignment="1">
      <alignment horizontal="center" wrapText="1"/>
    </xf>
    <xf numFmtId="0" fontId="0" fillId="7" borderId="12" xfId="0" applyFill="1" applyBorder="1" applyAlignment="1">
      <alignment horizontal="center" wrapText="1"/>
    </xf>
    <xf numFmtId="0" fontId="0" fillId="7" borderId="13" xfId="0" applyFill="1" applyBorder="1" applyAlignment="1">
      <alignment horizontal="center" wrapText="1"/>
    </xf>
    <xf numFmtId="0" fontId="0" fillId="7" borderId="16" xfId="0" applyFill="1" applyBorder="1" applyAlignment="1">
      <alignment horizontal="center" wrapText="1"/>
    </xf>
    <xf numFmtId="0" fontId="0" fillId="7" borderId="17" xfId="0" applyFill="1" applyBorder="1" applyAlignment="1">
      <alignment horizontal="center" wrapText="1"/>
    </xf>
    <xf numFmtId="0" fontId="0" fillId="7" borderId="18" xfId="0" applyFill="1"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47" fillId="0" borderId="11" xfId="0"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1" xfId="0" applyBorder="1" applyAlignment="1">
      <alignment horizontal="center" wrapText="1"/>
    </xf>
    <xf numFmtId="0" fontId="3" fillId="8" borderId="26" xfId="0" applyFont="1" applyFill="1" applyBorder="1" applyAlignment="1">
      <alignment horizontal="center"/>
    </xf>
    <xf numFmtId="0" fontId="3" fillId="8" borderId="27" xfId="0" applyFont="1" applyFill="1" applyBorder="1" applyAlignment="1">
      <alignment horizontal="center"/>
    </xf>
    <xf numFmtId="0" fontId="3" fillId="8" borderId="28" xfId="0" applyFont="1" applyFill="1" applyBorder="1" applyAlignment="1">
      <alignment horizontal="center"/>
    </xf>
    <xf numFmtId="0" fontId="3" fillId="8" borderId="43" xfId="0" applyFont="1" applyFill="1" applyBorder="1" applyAlignment="1">
      <alignment horizontal="center"/>
    </xf>
    <xf numFmtId="0" fontId="3" fillId="8" borderId="44" xfId="0" applyFont="1" applyFill="1" applyBorder="1" applyAlignment="1">
      <alignment horizontal="center"/>
    </xf>
    <xf numFmtId="0" fontId="3" fillId="8" borderId="45" xfId="0" applyFont="1" applyFill="1" applyBorder="1" applyAlignment="1">
      <alignment horizontal="center"/>
    </xf>
    <xf numFmtId="0" fontId="0" fillId="10" borderId="40" xfId="0" applyFill="1" applyBorder="1" applyAlignment="1">
      <alignment horizontal="center"/>
    </xf>
    <xf numFmtId="0" fontId="0" fillId="10" borderId="42" xfId="0" applyFill="1" applyBorder="1" applyAlignment="1">
      <alignment horizontal="center"/>
    </xf>
    <xf numFmtId="0" fontId="0" fillId="2" borderId="0" xfId="0" applyFill="1" applyAlignment="1">
      <alignment horizontal="left" vertical="top" wrapText="1"/>
    </xf>
    <xf numFmtId="0" fontId="0" fillId="2" borderId="2" xfId="0" applyFill="1" applyBorder="1" applyAlignment="1" applyProtection="1">
      <alignment horizontal="left" vertical="top" wrapText="1"/>
      <protection locked="0"/>
    </xf>
    <xf numFmtId="0" fontId="0" fillId="2" borderId="4" xfId="0" applyFill="1" applyBorder="1" applyAlignment="1">
      <alignment horizontal="left" vertical="top" wrapText="1"/>
    </xf>
    <xf numFmtId="0" fontId="0" fillId="2" borderId="3" xfId="0" applyFill="1" applyBorder="1" applyAlignment="1" applyProtection="1">
      <alignment horizontal="left" vertical="top" wrapText="1"/>
      <protection locked="0"/>
    </xf>
    <xf numFmtId="0" fontId="10" fillId="2" borderId="0" xfId="0" applyFont="1" applyFill="1" applyAlignment="1">
      <alignment horizontal="left" vertical="top" wrapText="1"/>
    </xf>
    <xf numFmtId="0" fontId="0" fillId="2" borderId="8" xfId="0" applyFill="1" applyBorder="1" applyAlignment="1" applyProtection="1">
      <alignment horizontal="left" vertical="top" wrapText="1"/>
      <protection locked="0"/>
    </xf>
    <xf numFmtId="0" fontId="0" fillId="2" borderId="9" xfId="0" applyFill="1" applyBorder="1" applyAlignment="1" applyProtection="1">
      <alignment horizontal="left" vertical="top" wrapText="1"/>
      <protection locked="0"/>
    </xf>
    <xf numFmtId="0" fontId="0" fillId="2" borderId="10" xfId="0" applyFill="1" applyBorder="1" applyAlignment="1" applyProtection="1">
      <alignment horizontal="left" vertical="top" wrapText="1"/>
      <protection locked="0"/>
    </xf>
    <xf numFmtId="0" fontId="12" fillId="2" borderId="0" xfId="0" applyFont="1" applyFill="1" applyAlignment="1">
      <alignment horizontal="left" wrapText="1"/>
    </xf>
    <xf numFmtId="0" fontId="3" fillId="2" borderId="0" xfId="0" applyFont="1" applyFill="1" applyAlignment="1">
      <alignment horizontal="left" wrapText="1"/>
    </xf>
    <xf numFmtId="0" fontId="3" fillId="2" borderId="0" xfId="0" applyFont="1" applyFill="1" applyAlignment="1">
      <alignment horizontal="left"/>
    </xf>
    <xf numFmtId="0" fontId="0" fillId="2" borderId="0" xfId="0" applyFill="1" applyAlignment="1">
      <alignment horizontal="left"/>
    </xf>
    <xf numFmtId="0" fontId="0" fillId="2" borderId="0" xfId="0" applyFill="1" applyAlignment="1">
      <alignment horizontal="left" wrapText="1"/>
    </xf>
    <xf numFmtId="0" fontId="27" fillId="2" borderId="0" xfId="0" applyFont="1" applyFill="1" applyAlignment="1">
      <alignment horizontal="left"/>
    </xf>
    <xf numFmtId="0" fontId="11" fillId="2" borderId="2" xfId="0" applyFont="1" applyFill="1" applyBorder="1" applyAlignment="1" applyProtection="1">
      <alignment horizontal="left" vertical="top" wrapText="1"/>
      <protection locked="0"/>
    </xf>
    <xf numFmtId="0" fontId="0" fillId="2" borderId="0" xfId="0" applyFill="1" applyAlignment="1">
      <alignment horizontal="left" vertical="top"/>
    </xf>
    <xf numFmtId="0" fontId="11" fillId="2" borderId="0" xfId="0" applyFont="1" applyFill="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6" xfId="0" applyFill="1" applyBorder="1" applyAlignment="1">
      <alignment horizontal="left" vertical="top"/>
    </xf>
    <xf numFmtId="0" fontId="0" fillId="2" borderId="17" xfId="0" applyFill="1" applyBorder="1" applyAlignment="1">
      <alignment horizontal="left" vertical="top"/>
    </xf>
    <xf numFmtId="0" fontId="0" fillId="2" borderId="18" xfId="0" applyFill="1" applyBorder="1" applyAlignment="1">
      <alignment horizontal="left" vertical="top"/>
    </xf>
    <xf numFmtId="0" fontId="0" fillId="2" borderId="4" xfId="0" applyFill="1" applyBorder="1" applyAlignment="1">
      <alignment horizontal="left"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0" fillId="2" borderId="13" xfId="0" applyFill="1" applyBorder="1" applyAlignment="1">
      <alignment horizontal="left" vertical="top" wrapText="1"/>
    </xf>
    <xf numFmtId="0" fontId="0" fillId="2" borderId="11" xfId="0" applyFill="1" applyBorder="1" applyAlignment="1">
      <alignment horizontal="left" vertical="top"/>
    </xf>
    <xf numFmtId="0" fontId="0" fillId="2" borderId="12" xfId="0" applyFill="1" applyBorder="1" applyAlignment="1">
      <alignment horizontal="left" vertical="top"/>
    </xf>
    <xf numFmtId="0" fontId="0" fillId="2" borderId="13" xfId="0" applyFill="1" applyBorder="1" applyAlignment="1">
      <alignment horizontal="left" vertical="top"/>
    </xf>
    <xf numFmtId="0" fontId="11" fillId="2" borderId="0" xfId="0" applyFont="1" applyFill="1" applyAlignment="1">
      <alignment horizontal="left" vertical="top" wrapText="1"/>
    </xf>
    <xf numFmtId="0" fontId="0" fillId="2" borderId="4" xfId="0" applyFill="1" applyBorder="1" applyAlignment="1">
      <alignment horizontal="left" vertical="top"/>
    </xf>
    <xf numFmtId="0" fontId="10" fillId="2" borderId="4" xfId="0" applyFont="1" applyFill="1" applyBorder="1" applyAlignment="1">
      <alignment horizontal="left" vertical="top" wrapText="1"/>
    </xf>
    <xf numFmtId="0" fontId="0" fillId="2" borderId="2" xfId="0" applyFill="1" applyBorder="1" applyAlignment="1" applyProtection="1">
      <alignment horizontal="left" vertical="top"/>
      <protection locked="0"/>
    </xf>
    <xf numFmtId="170" fontId="0" fillId="2" borderId="2" xfId="0" applyNumberFormat="1" applyFill="1" applyBorder="1" applyAlignment="1" applyProtection="1">
      <alignment horizontal="left" vertical="top" wrapText="1"/>
      <protection locked="0"/>
    </xf>
    <xf numFmtId="0" fontId="11" fillId="2" borderId="0" xfId="0" applyFont="1" applyFill="1" applyAlignment="1">
      <alignment horizontal="left" wrapText="1"/>
    </xf>
    <xf numFmtId="0" fontId="11" fillId="2" borderId="0" xfId="0" applyFont="1" applyFill="1" applyAlignment="1">
      <alignment horizontal="left"/>
    </xf>
    <xf numFmtId="0" fontId="29" fillId="2" borderId="0" xfId="0" applyFont="1" applyFill="1" applyAlignment="1">
      <alignment horizontal="left"/>
    </xf>
    <xf numFmtId="0" fontId="14" fillId="2" borderId="0" xfId="0" applyFont="1" applyFill="1" applyAlignment="1">
      <alignment horizontal="left" wrapText="1"/>
    </xf>
  </cellXfs>
  <cellStyles count="3">
    <cellStyle name="Comma" xfId="1" builtinId="3"/>
    <cellStyle name="Hyperlink" xfId="2" builtinId="8"/>
    <cellStyle name="Normal" xfId="0" builtinId="0"/>
  </cellStyles>
  <dxfs count="5">
    <dxf>
      <numFmt numFmtId="171" formatCode=";;;"/>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colors>
    <mruColors>
      <color rgb="FF9900FF"/>
      <color rgb="FFCC99FF"/>
      <color rgb="FFFFFF66"/>
      <color rgb="FF99FF66"/>
      <color rgb="FFFF9999"/>
      <color rgb="FF99CCFF"/>
      <color rgb="FFFF33CC"/>
      <color rgb="FF00CC99"/>
      <color rgb="FFFFCC99"/>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nl-NL"/>
              <a:t>Class I Loading Diagram</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Class I Loading Diagram</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(cg_loading!$C$26,cg_loading!$C$29,cg_loading!$C$30,cg_loading!$C$31,cg_loading!$C$26)</c:f>
              <c:numCache>
                <c:formatCode>0.00</c:formatCode>
                <c:ptCount val="5"/>
                <c:pt idx="0">
                  <c:v>21.47</c:v>
                </c:pt>
                <c:pt idx="1">
                  <c:v>20.608865815150914</c:v>
                </c:pt>
                <c:pt idx="2">
                  <c:v>20.587124536455011</c:v>
                </c:pt>
                <c:pt idx="3">
                  <c:v>21.251247369772084</c:v>
                </c:pt>
                <c:pt idx="4">
                  <c:v>21.47</c:v>
                </c:pt>
              </c:numCache>
            </c:numRef>
          </c:xVal>
          <c:yVal>
            <c:numRef>
              <c:f>(cg_loading!$B$26,cg_loading!$B$29,cg_loading!$B$30,cg_loading!$B$31,cg_loading!$B$26)</c:f>
              <c:numCache>
                <c:formatCode>0.000</c:formatCode>
                <c:ptCount val="5"/>
                <c:pt idx="0" formatCode="0.00">
                  <c:v>0.55686839577329494</c:v>
                </c:pt>
                <c:pt idx="1">
                  <c:v>0.84421229586935642</c:v>
                </c:pt>
                <c:pt idx="2">
                  <c:v>1</c:v>
                </c:pt>
                <c:pt idx="3">
                  <c:v>0.71265609990393852</c:v>
                </c:pt>
                <c:pt idx="4" formatCode="0.00">
                  <c:v>0.55686839577329494</c:v>
                </c:pt>
              </c:numCache>
            </c:numRef>
          </c:yVal>
          <c:smooth val="0"/>
          <c:extLst>
            <c:ext xmlns:c16="http://schemas.microsoft.com/office/drawing/2014/chart" uri="{C3380CC4-5D6E-409C-BE32-E72D297353CC}">
              <c16:uniqueId val="{00000000-37E8-423E-B51F-EBFE54491550}"/>
            </c:ext>
          </c:extLst>
        </c:ser>
        <c:ser>
          <c:idx val="1"/>
          <c:order val="1"/>
          <c:tx>
            <c:v>MAC</c:v>
          </c:tx>
          <c:spPr>
            <a:ln w="19050" cap="rnd">
              <a:solidFill>
                <a:srgbClr val="FF0000"/>
              </a:solidFill>
              <a:round/>
            </a:ln>
            <a:effectLst/>
          </c:spPr>
          <c:marker>
            <c:symbol val="none"/>
          </c:marker>
          <c:xVal>
            <c:numRef>
              <c:f>('CG and Loading Diagram'!$C$19,'CG and Loading Diagram'!$C$20)</c:f>
              <c:numCache>
                <c:formatCode>0.00</c:formatCode>
                <c:ptCount val="2"/>
                <c:pt idx="0">
                  <c:v>19.991299349622295</c:v>
                </c:pt>
                <c:pt idx="1">
                  <c:v>23.428534248951156</c:v>
                </c:pt>
              </c:numCache>
            </c:numRef>
          </c:xVal>
          <c:yVal>
            <c:numLit>
              <c:formatCode>General</c:formatCode>
              <c:ptCount val="2"/>
              <c:pt idx="0">
                <c:v>1</c:v>
              </c:pt>
              <c:pt idx="1">
                <c:v>1</c:v>
              </c:pt>
            </c:numLit>
          </c:yVal>
          <c:smooth val="0"/>
          <c:extLst>
            <c:ext xmlns:c16="http://schemas.microsoft.com/office/drawing/2014/chart" uri="{C3380CC4-5D6E-409C-BE32-E72D297353CC}">
              <c16:uniqueId val="{00000001-37E8-423E-B51F-EBFE54491550}"/>
            </c:ext>
          </c:extLst>
        </c:ser>
        <c:dLbls>
          <c:showLegendKey val="0"/>
          <c:showVal val="0"/>
          <c:showCatName val="0"/>
          <c:showSerName val="0"/>
          <c:showPercent val="0"/>
          <c:showBubbleSize val="0"/>
        </c:dLbls>
        <c:axId val="1675774688"/>
        <c:axId val="1866350208"/>
      </c:scatterChart>
      <c:valAx>
        <c:axId val="1675774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Fuselage station, X (m)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66350208"/>
        <c:crosses val="autoZero"/>
        <c:crossBetween val="midCat"/>
      </c:valAx>
      <c:valAx>
        <c:axId val="18663502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Mass Fraction,M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5774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nl-NL"/>
              <a:t>Class I Loading Diagram</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Class I Loading Diagram</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(cg_loading_exx!$C$26,cg_loading_exx!$C$35,cg_loading_exx!$C$37,cg_loading_exx!$C$36,cg_loading_exx!$C$34,cg_loading_exx!$C$26)</c:f>
              <c:numCache>
                <c:formatCode>0.00</c:formatCode>
                <c:ptCount val="6"/>
                <c:pt idx="0">
                  <c:v>21.498936985797986</c:v>
                </c:pt>
                <c:pt idx="1">
                  <c:v>20.574221759416357</c:v>
                </c:pt>
                <c:pt idx="2">
                  <c:v>20.564825197106593</c:v>
                </c:pt>
                <c:pt idx="3">
                  <c:v>21.345508067393808</c:v>
                </c:pt>
                <c:pt idx="4">
                  <c:v>21.466579828351282</c:v>
                </c:pt>
                <c:pt idx="5">
                  <c:v>21.498936985797986</c:v>
                </c:pt>
              </c:numCache>
            </c:numRef>
          </c:xVal>
          <c:yVal>
            <c:numRef>
              <c:f>(cg_loading_exx!$B$26,cg_loading_exx!$B$35,cg_loading_exx!$B$37,cg_loading_exx!$B$36,cg_loading_exx!$B$34,cg_loading_exx!$B$26)</c:f>
              <c:numCache>
                <c:formatCode>0.000</c:formatCode>
                <c:ptCount val="6"/>
                <c:pt idx="0" formatCode="0.00">
                  <c:v>0.54011678517867634</c:v>
                </c:pt>
                <c:pt idx="1">
                  <c:v>0.91043474867531415</c:v>
                </c:pt>
                <c:pt idx="2">
                  <c:v>1</c:v>
                </c:pt>
                <c:pt idx="3">
                  <c:v>0.73775120076849188</c:v>
                </c:pt>
                <c:pt idx="4">
                  <c:v>0.64818594944380603</c:v>
                </c:pt>
                <c:pt idx="5" formatCode="0.00">
                  <c:v>0.54011678517867634</c:v>
                </c:pt>
              </c:numCache>
            </c:numRef>
          </c:yVal>
          <c:smooth val="0"/>
          <c:extLst>
            <c:ext xmlns:c16="http://schemas.microsoft.com/office/drawing/2014/chart" uri="{C3380CC4-5D6E-409C-BE32-E72D297353CC}">
              <c16:uniqueId val="{00000000-325D-49F6-B105-065DFC3E2081}"/>
            </c:ext>
          </c:extLst>
        </c:ser>
        <c:ser>
          <c:idx val="1"/>
          <c:order val="1"/>
          <c:tx>
            <c:v>MAC</c:v>
          </c:tx>
          <c:spPr>
            <a:ln w="19050" cap="rnd">
              <a:solidFill>
                <a:srgbClr val="FF0000"/>
              </a:solidFill>
              <a:round/>
            </a:ln>
            <a:effectLst/>
          </c:spPr>
          <c:marker>
            <c:symbol val="none"/>
          </c:marker>
          <c:xVal>
            <c:numRef>
              <c:f>('CG and Loading Diagram'!$C$19,'CG and Loading Diagram'!$C$20)</c:f>
              <c:numCache>
                <c:formatCode>0.00</c:formatCode>
                <c:ptCount val="2"/>
                <c:pt idx="0">
                  <c:v>19.991299349622295</c:v>
                </c:pt>
                <c:pt idx="1">
                  <c:v>23.428534248951156</c:v>
                </c:pt>
              </c:numCache>
            </c:numRef>
          </c:xVal>
          <c:yVal>
            <c:numLit>
              <c:formatCode>General</c:formatCode>
              <c:ptCount val="2"/>
              <c:pt idx="0">
                <c:v>1</c:v>
              </c:pt>
              <c:pt idx="1">
                <c:v>1</c:v>
              </c:pt>
            </c:numLit>
          </c:yVal>
          <c:smooth val="0"/>
          <c:extLst>
            <c:ext xmlns:c16="http://schemas.microsoft.com/office/drawing/2014/chart" uri="{C3380CC4-5D6E-409C-BE32-E72D297353CC}">
              <c16:uniqueId val="{00000001-325D-49F6-B105-065DFC3E2081}"/>
            </c:ext>
          </c:extLst>
        </c:ser>
        <c:dLbls>
          <c:showLegendKey val="0"/>
          <c:showVal val="0"/>
          <c:showCatName val="0"/>
          <c:showSerName val="0"/>
          <c:showPercent val="0"/>
          <c:showBubbleSize val="0"/>
        </c:dLbls>
        <c:axId val="1675774688"/>
        <c:axId val="1866350208"/>
      </c:scatterChart>
      <c:valAx>
        <c:axId val="1675774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Fuselage station, X (m)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66350208"/>
        <c:crosses val="autoZero"/>
        <c:crossBetween val="midCat"/>
      </c:valAx>
      <c:valAx>
        <c:axId val="18663502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Mass Fraction,M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5774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99CCFF"/>
              </a:solidFill>
              <a:ln w="19050">
                <a:solidFill>
                  <a:schemeClr val="bg1"/>
                </a:solidFill>
              </a:ln>
              <a:effectLst/>
            </c:spPr>
            <c:extLst>
              <c:ext xmlns:c16="http://schemas.microsoft.com/office/drawing/2014/chart" uri="{C3380CC4-5D6E-409C-BE32-E72D297353CC}">
                <c16:uniqueId val="{00000001-8F7C-470B-8AFA-7DD4C1C1D1FE}"/>
              </c:ext>
            </c:extLst>
          </c:dPt>
          <c:dPt>
            <c:idx val="1"/>
            <c:bubble3D val="0"/>
            <c:spPr>
              <a:solidFill>
                <a:srgbClr val="99FF66"/>
              </a:solidFill>
              <a:ln w="19050">
                <a:solidFill>
                  <a:schemeClr val="bg1"/>
                </a:solidFill>
              </a:ln>
              <a:effectLst/>
            </c:spPr>
            <c:extLst>
              <c:ext xmlns:c16="http://schemas.microsoft.com/office/drawing/2014/chart" uri="{C3380CC4-5D6E-409C-BE32-E72D297353CC}">
                <c16:uniqueId val="{00000002-8F7C-470B-8AFA-7DD4C1C1D1FE}"/>
              </c:ext>
            </c:extLst>
          </c:dPt>
          <c:dPt>
            <c:idx val="2"/>
            <c:bubble3D val="0"/>
            <c:spPr>
              <a:solidFill>
                <a:srgbClr val="FF9999"/>
              </a:solidFill>
              <a:ln w="19050">
                <a:solidFill>
                  <a:schemeClr val="bg1"/>
                </a:solidFill>
              </a:ln>
              <a:effectLst/>
            </c:spPr>
            <c:extLst>
              <c:ext xmlns:c16="http://schemas.microsoft.com/office/drawing/2014/chart" uri="{C3380CC4-5D6E-409C-BE32-E72D297353CC}">
                <c16:uniqueId val="{00000003-8F7C-470B-8AFA-7DD4C1C1D1FE}"/>
              </c:ext>
            </c:extLst>
          </c:dPt>
          <c:dPt>
            <c:idx val="3"/>
            <c:bubble3D val="0"/>
            <c:spPr>
              <a:solidFill>
                <a:srgbClr val="CC99FF"/>
              </a:solidFill>
              <a:ln w="19050">
                <a:solidFill>
                  <a:schemeClr val="bg1"/>
                </a:solidFill>
              </a:ln>
              <a:effectLst/>
            </c:spPr>
            <c:extLst>
              <c:ext xmlns:c16="http://schemas.microsoft.com/office/drawing/2014/chart" uri="{C3380CC4-5D6E-409C-BE32-E72D297353CC}">
                <c16:uniqueId val="{00000007-B204-433B-AF5F-A430772A1ACF}"/>
              </c:ext>
            </c:extLst>
          </c:dPt>
          <c:dPt>
            <c:idx val="4"/>
            <c:bubble3D val="0"/>
            <c:spPr>
              <a:solidFill>
                <a:srgbClr val="9900FF"/>
              </a:solidFill>
              <a:ln w="19050">
                <a:solidFill>
                  <a:schemeClr val="bg1"/>
                </a:solidFill>
              </a:ln>
              <a:effectLst/>
            </c:spPr>
            <c:extLst>
              <c:ext xmlns:c16="http://schemas.microsoft.com/office/drawing/2014/chart" uri="{C3380CC4-5D6E-409C-BE32-E72D297353CC}">
                <c16:uniqueId val="{00000004-8F7C-470B-8AFA-7DD4C1C1D1FE}"/>
              </c:ext>
            </c:extLst>
          </c:dPt>
          <c:dPt>
            <c:idx val="5"/>
            <c:bubble3D val="0"/>
            <c:spPr>
              <a:solidFill>
                <a:srgbClr val="FFC000"/>
              </a:solidFill>
              <a:ln w="19050">
                <a:solidFill>
                  <a:schemeClr val="bg1"/>
                </a:solidFill>
              </a:ln>
              <a:effectLst/>
            </c:spPr>
            <c:extLst>
              <c:ext xmlns:c16="http://schemas.microsoft.com/office/drawing/2014/chart" uri="{C3380CC4-5D6E-409C-BE32-E72D297353CC}">
                <c16:uniqueId val="{00000005-8F7C-470B-8AFA-7DD4C1C1D1FE}"/>
              </c:ext>
            </c:extLst>
          </c:dPt>
          <c:dPt>
            <c:idx val="6"/>
            <c:bubble3D val="0"/>
            <c:spPr>
              <a:solidFill>
                <a:srgbClr val="FFFF66"/>
              </a:solidFill>
              <a:ln w="19050">
                <a:solidFill>
                  <a:schemeClr val="bg1"/>
                </a:solidFill>
              </a:ln>
              <a:effectLst/>
            </c:spPr>
            <c:extLst>
              <c:ext xmlns:c16="http://schemas.microsoft.com/office/drawing/2014/chart" uri="{C3380CC4-5D6E-409C-BE32-E72D297353CC}">
                <c16:uniqueId val="{0000000D-B204-433B-AF5F-A430772A1A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pl-PL"/>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cg_loading_exx!$O$43:$O$49</c:f>
              <c:strCache>
                <c:ptCount val="7"/>
                <c:pt idx="0">
                  <c:v>OEW</c:v>
                </c:pt>
                <c:pt idx="1">
                  <c:v>Wp(cabin)</c:v>
                </c:pt>
                <c:pt idx="2">
                  <c:v>WF</c:v>
                </c:pt>
                <c:pt idx="3">
                  <c:v>Wbat(aft)</c:v>
                </c:pt>
                <c:pt idx="4">
                  <c:v>Wbat(front)</c:v>
                </c:pt>
                <c:pt idx="5">
                  <c:v>Wp(aft)</c:v>
                </c:pt>
                <c:pt idx="6">
                  <c:v>Wp(front)</c:v>
                </c:pt>
              </c:strCache>
            </c:strRef>
          </c:cat>
          <c:val>
            <c:numRef>
              <c:f>cg_loading_exx!$P$43:$P$49</c:f>
              <c:numCache>
                <c:formatCode>0.00%</c:formatCode>
                <c:ptCount val="7"/>
                <c:pt idx="0">
                  <c:v>0.54011678517867634</c:v>
                </c:pt>
                <c:pt idx="1">
                  <c:v>0.18403073967339098</c:v>
                </c:pt>
                <c:pt idx="2">
                  <c:v>8.9565251324685846E-2</c:v>
                </c:pt>
                <c:pt idx="3">
                  <c:v>5.9438040345821327E-2</c:v>
                </c:pt>
                <c:pt idx="4">
                  <c:v>4.8631123919308357E-2</c:v>
                </c:pt>
                <c:pt idx="5">
                  <c:v>5.9747963204500966E-2</c:v>
                </c:pt>
                <c:pt idx="6">
                  <c:v>1.8470096353616225E-2</c:v>
                </c:pt>
              </c:numCache>
            </c:numRef>
          </c:val>
          <c:extLst>
            <c:ext xmlns:c16="http://schemas.microsoft.com/office/drawing/2014/chart" uri="{C3380CC4-5D6E-409C-BE32-E72D297353CC}">
              <c16:uniqueId val="{00000000-8F7C-470B-8AFA-7DD4C1C1D1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pl-PL" sz="1600">
                <a:solidFill>
                  <a:schemeClr val="tx1"/>
                </a:solidFill>
                <a:latin typeface="Times New Roman" panose="02020603050405020304" pitchFamily="18" charset="0"/>
                <a:cs typeface="Times New Roman" panose="02020603050405020304" pitchFamily="18" charset="0"/>
              </a:rPr>
              <a:t>CRJ-1000 Loading Diagram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scatterChart>
        <c:scatterStyle val="lineMarker"/>
        <c:varyColors val="0"/>
        <c:ser>
          <c:idx val="0"/>
          <c:order val="0"/>
          <c:tx>
            <c:v>cargo f-b</c:v>
          </c:tx>
          <c:spPr>
            <a:ln w="19050" cap="rnd">
              <a:solidFill>
                <a:srgbClr val="C00000"/>
              </a:solidFill>
              <a:round/>
            </a:ln>
            <a:effectLst/>
          </c:spPr>
          <c:marker>
            <c:symbol val="star"/>
            <c:size val="5"/>
            <c:spPr>
              <a:noFill/>
              <a:ln w="9525">
                <a:solidFill>
                  <a:srgbClr val="C00000"/>
                </a:solidFill>
              </a:ln>
              <a:effectLst/>
            </c:spPr>
          </c:marker>
          <c:xVal>
            <c:numRef>
              <c:f>'CRJ-1000 Loading Diagram'!$Y$4:$Y$6</c:f>
              <c:numCache>
                <c:formatCode>General</c:formatCode>
                <c:ptCount val="3"/>
                <c:pt idx="0">
                  <c:v>0.54113264134586081</c:v>
                </c:pt>
                <c:pt idx="1">
                  <c:v>0.43023012061711347</c:v>
                </c:pt>
                <c:pt idx="2">
                  <c:v>0.64183427248056324</c:v>
                </c:pt>
              </c:numCache>
            </c:numRef>
          </c:xVal>
          <c:yVal>
            <c:numRef>
              <c:f>'CRJ-1000 Loading Diagram'!$U$4:$U$6</c:f>
              <c:numCache>
                <c:formatCode>General</c:formatCode>
                <c:ptCount val="3"/>
                <c:pt idx="0">
                  <c:v>23188</c:v>
                </c:pt>
                <c:pt idx="1">
                  <c:v>24058.961870869345</c:v>
                </c:pt>
                <c:pt idx="2">
                  <c:v>26445</c:v>
                </c:pt>
              </c:numCache>
            </c:numRef>
          </c:yVal>
          <c:smooth val="0"/>
          <c:extLst>
            <c:ext xmlns:c16="http://schemas.microsoft.com/office/drawing/2014/chart" uri="{C3380CC4-5D6E-409C-BE32-E72D297353CC}">
              <c16:uniqueId val="{0000000B-DD81-4E8A-842A-6117ECED7364}"/>
            </c:ext>
          </c:extLst>
        </c:ser>
        <c:ser>
          <c:idx val="1"/>
          <c:order val="1"/>
          <c:tx>
            <c:v>cargo b-f</c:v>
          </c:tx>
          <c:spPr>
            <a:ln w="19050" cap="rnd">
              <a:solidFill>
                <a:srgbClr val="7030A0"/>
              </a:solidFill>
              <a:round/>
            </a:ln>
            <a:effectLst/>
          </c:spPr>
          <c:marker>
            <c:symbol val="star"/>
            <c:size val="5"/>
            <c:spPr>
              <a:noFill/>
              <a:ln w="9525">
                <a:solidFill>
                  <a:srgbClr val="7030A0"/>
                </a:solidFill>
              </a:ln>
              <a:effectLst/>
            </c:spPr>
          </c:marker>
          <c:xVal>
            <c:numRef>
              <c:f>'CRJ-1000 Loading Diagram'!$N$4:$N$6</c:f>
              <c:numCache>
                <c:formatCode>General</c:formatCode>
                <c:ptCount val="3"/>
                <c:pt idx="0">
                  <c:v>0.54113264134586081</c:v>
                </c:pt>
                <c:pt idx="1">
                  <c:v>0.74959616697425113</c:v>
                </c:pt>
                <c:pt idx="2">
                  <c:v>0.64183427248056324</c:v>
                </c:pt>
              </c:numCache>
            </c:numRef>
          </c:xVal>
          <c:yVal>
            <c:numRef>
              <c:f>'CRJ-1000 Loading Diagram'!$J$4:$J$6</c:f>
              <c:numCache>
                <c:formatCode>General</c:formatCode>
                <c:ptCount val="3"/>
                <c:pt idx="0">
                  <c:v>23188</c:v>
                </c:pt>
                <c:pt idx="1">
                  <c:v>25574.038129130655</c:v>
                </c:pt>
                <c:pt idx="2">
                  <c:v>26445</c:v>
                </c:pt>
              </c:numCache>
            </c:numRef>
          </c:yVal>
          <c:smooth val="0"/>
          <c:extLst>
            <c:ext xmlns:c16="http://schemas.microsoft.com/office/drawing/2014/chart" uri="{C3380CC4-5D6E-409C-BE32-E72D297353CC}">
              <c16:uniqueId val="{0000000C-DD81-4E8A-842A-6117ECED7364}"/>
            </c:ext>
          </c:extLst>
        </c:ser>
        <c:ser>
          <c:idx val="2"/>
          <c:order val="2"/>
          <c:tx>
            <c:v>passengers f-b window</c:v>
          </c:tx>
          <c:spPr>
            <a:ln w="19050" cap="rnd">
              <a:solidFill>
                <a:schemeClr val="accent1">
                  <a:lumMod val="75000"/>
                </a:schemeClr>
              </a:solidFill>
              <a:round/>
            </a:ln>
            <a:effectLst/>
          </c:spPr>
          <c:marker>
            <c:symbol val="triangle"/>
            <c:size val="5"/>
            <c:spPr>
              <a:solidFill>
                <a:schemeClr val="accent1">
                  <a:lumMod val="75000"/>
                </a:schemeClr>
              </a:solidFill>
              <a:ln w="9525">
                <a:noFill/>
              </a:ln>
              <a:effectLst/>
            </c:spPr>
          </c:marker>
          <c:xVal>
            <c:numRef>
              <c:f>'CRJ-1000 Loading Diagram'!$Y$6:$Y$31</c:f>
              <c:numCache>
                <c:formatCode>General</c:formatCode>
                <c:ptCount val="26"/>
                <c:pt idx="0">
                  <c:v>0.64183427248056324</c:v>
                </c:pt>
                <c:pt idx="1">
                  <c:v>0.61181199687794885</c:v>
                </c:pt>
                <c:pt idx="2">
                  <c:v>0.58366906441448241</c:v>
                </c:pt>
                <c:pt idx="3">
                  <c:v>0.5573690638569565</c:v>
                </c:pt>
                <c:pt idx="4">
                  <c:v>0.53287651853328022</c:v>
                </c:pt>
                <c:pt idx="5">
                  <c:v>0.5101568565396285</c:v>
                </c:pt>
                <c:pt idx="6">
                  <c:v>0.48917638208007036</c:v>
                </c:pt>
                <c:pt idx="7">
                  <c:v>0.46990224788880386</c:v>
                </c:pt>
                <c:pt idx="8">
                  <c:v>0.45230242868756526</c:v>
                </c:pt>
                <c:pt idx="9">
                  <c:v>0.4363456956331716</c:v>
                </c:pt>
                <c:pt idx="10">
                  <c:v>0.42200159171235913</c:v>
                </c:pt>
                <c:pt idx="11">
                  <c:v>0.40924040804321787</c:v>
                </c:pt>
                <c:pt idx="12">
                  <c:v>0.39803316104447239</c:v>
                </c:pt>
                <c:pt idx="13">
                  <c:v>0.38835157043574869</c:v>
                </c:pt>
                <c:pt idx="14">
                  <c:v>0.38016803803379118</c:v>
                </c:pt>
                <c:pt idx="15">
                  <c:v>0.37345562731117549</c:v>
                </c:pt>
                <c:pt idx="16">
                  <c:v>0.36818804368578162</c:v>
                </c:pt>
                <c:pt idx="17">
                  <c:v>0.36433961551066968</c:v>
                </c:pt>
                <c:pt idx="18">
                  <c:v>0.36188527573554685</c:v>
                </c:pt>
                <c:pt idx="19">
                  <c:v>0.36080054421226371</c:v>
                </c:pt>
                <c:pt idx="20">
                  <c:v>0.36106151061813513</c:v>
                </c:pt>
                <c:pt idx="21">
                  <c:v>0.36264481797204534</c:v>
                </c:pt>
                <c:pt idx="22">
                  <c:v>0.36552764671948473</c:v>
                </c:pt>
                <c:pt idx="23">
                  <c:v>0.36968769936372281</c:v>
                </c:pt>
                <c:pt idx="24">
                  <c:v>0.37510318562139644</c:v>
                </c:pt>
                <c:pt idx="25">
                  <c:v>0.38175280808173495</c:v>
                </c:pt>
              </c:numCache>
            </c:numRef>
          </c:xVal>
          <c:yVal>
            <c:numRef>
              <c:f>'CRJ-1000 Loading Diagram'!$U$6:$U$31</c:f>
              <c:numCache>
                <c:formatCode>General</c:formatCode>
                <c:ptCount val="26"/>
                <c:pt idx="0">
                  <c:v>26445</c:v>
                </c:pt>
                <c:pt idx="1">
                  <c:v>26619.16</c:v>
                </c:pt>
                <c:pt idx="2">
                  <c:v>26793.32</c:v>
                </c:pt>
                <c:pt idx="3">
                  <c:v>26967.48</c:v>
                </c:pt>
                <c:pt idx="4">
                  <c:v>27141.64</c:v>
                </c:pt>
                <c:pt idx="5">
                  <c:v>27315.8</c:v>
                </c:pt>
                <c:pt idx="6">
                  <c:v>27489.96</c:v>
                </c:pt>
                <c:pt idx="7">
                  <c:v>27664.12</c:v>
                </c:pt>
                <c:pt idx="8">
                  <c:v>27838.28</c:v>
                </c:pt>
                <c:pt idx="9">
                  <c:v>28012.44</c:v>
                </c:pt>
                <c:pt idx="10">
                  <c:v>28186.6</c:v>
                </c:pt>
                <c:pt idx="11">
                  <c:v>28360.76</c:v>
                </c:pt>
                <c:pt idx="12">
                  <c:v>28534.92</c:v>
                </c:pt>
                <c:pt idx="13">
                  <c:v>28709.079999999998</c:v>
                </c:pt>
                <c:pt idx="14">
                  <c:v>28883.239999999998</c:v>
                </c:pt>
                <c:pt idx="15">
                  <c:v>29057.399999999998</c:v>
                </c:pt>
                <c:pt idx="16">
                  <c:v>29231.559999999998</c:v>
                </c:pt>
                <c:pt idx="17">
                  <c:v>29405.719999999998</c:v>
                </c:pt>
                <c:pt idx="18">
                  <c:v>29579.879999999997</c:v>
                </c:pt>
                <c:pt idx="19">
                  <c:v>29754.039999999997</c:v>
                </c:pt>
                <c:pt idx="20">
                  <c:v>29928.199999999997</c:v>
                </c:pt>
                <c:pt idx="21">
                  <c:v>30102.359999999997</c:v>
                </c:pt>
                <c:pt idx="22">
                  <c:v>30276.519999999997</c:v>
                </c:pt>
                <c:pt idx="23">
                  <c:v>30450.679999999997</c:v>
                </c:pt>
                <c:pt idx="24">
                  <c:v>30624.839999999997</c:v>
                </c:pt>
                <c:pt idx="25">
                  <c:v>30798.999999999996</c:v>
                </c:pt>
              </c:numCache>
            </c:numRef>
          </c:yVal>
          <c:smooth val="0"/>
          <c:extLst>
            <c:ext xmlns:c16="http://schemas.microsoft.com/office/drawing/2014/chart" uri="{C3380CC4-5D6E-409C-BE32-E72D297353CC}">
              <c16:uniqueId val="{0000000D-DD81-4E8A-842A-6117ECED7364}"/>
            </c:ext>
          </c:extLst>
        </c:ser>
        <c:ser>
          <c:idx val="3"/>
          <c:order val="3"/>
          <c:tx>
            <c:v>passengers f-b aisle</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'CRJ-1000 Loading Diagram'!$Y$31:$Y$56</c:f>
              <c:numCache>
                <c:formatCode>General</c:formatCode>
                <c:ptCount val="26"/>
                <c:pt idx="0">
                  <c:v>0.38175280808173495</c:v>
                </c:pt>
                <c:pt idx="1">
                  <c:v>0.35741328412000833</c:v>
                </c:pt>
                <c:pt idx="2">
                  <c:v>0.33462684485595151</c:v>
                </c:pt>
                <c:pt idx="3">
                  <c:v>0.31336758296677036</c:v>
                </c:pt>
                <c:pt idx="4">
                  <c:v>0.29361016416381636</c:v>
                </c:pt>
                <c:pt idx="5">
                  <c:v>0.27532981143632157</c:v>
                </c:pt>
                <c:pt idx="6">
                  <c:v>0.25850228981215578</c:v>
                </c:pt>
                <c:pt idx="7">
                  <c:v>0.24310389161594956</c:v>
                </c:pt>
                <c:pt idx="8">
                  <c:v>0.2291114222057376</c:v>
                </c:pt>
                <c:pt idx="9">
                  <c:v>0.21650218617009834</c:v>
                </c:pt>
                <c:pt idx="10">
                  <c:v>0.20525397396853259</c:v>
                </c:pt>
                <c:pt idx="11">
                  <c:v>0.19534504899857494</c:v>
                </c:pt>
                <c:pt idx="12">
                  <c:v>0.1867541350738165</c:v>
                </c:pt>
                <c:pt idx="13">
                  <c:v>0.17946040429767426</c:v>
                </c:pt>
                <c:pt idx="14">
                  <c:v>0.17344346531841701</c:v>
                </c:pt>
                <c:pt idx="15">
                  <c:v>0.16868335195150524</c:v>
                </c:pt>
                <c:pt idx="16">
                  <c:v>0.16516051215594657</c:v>
                </c:pt>
                <c:pt idx="17">
                  <c:v>0.16285579735184721</c:v>
                </c:pt>
                <c:pt idx="18">
                  <c:v>0.16175045206693447</c:v>
                </c:pt>
                <c:pt idx="19">
                  <c:v>0.16182610390025809</c:v>
                </c:pt>
                <c:pt idx="20">
                  <c:v>0.16306475379183197</c:v>
                </c:pt>
                <c:pt idx="21">
                  <c:v>0.16544876658734781</c:v>
                </c:pt>
                <c:pt idx="22">
                  <c:v>0.1689608618876077</c:v>
                </c:pt>
                <c:pt idx="23">
                  <c:v>0.17358410517268119</c:v>
                </c:pt>
                <c:pt idx="24">
                  <c:v>0.17930189919122957</c:v>
                </c:pt>
                <c:pt idx="25">
                  <c:v>0.18609797560577757</c:v>
                </c:pt>
              </c:numCache>
            </c:numRef>
          </c:xVal>
          <c:yVal>
            <c:numRef>
              <c:f>'CRJ-1000 Loading Diagram'!$U$31:$U$56</c:f>
              <c:numCache>
                <c:formatCode>General</c:formatCode>
                <c:ptCount val="26"/>
                <c:pt idx="0">
                  <c:v>30798.999999999996</c:v>
                </c:pt>
                <c:pt idx="1">
                  <c:v>30973.159999999996</c:v>
                </c:pt>
                <c:pt idx="2">
                  <c:v>31147.319999999996</c:v>
                </c:pt>
                <c:pt idx="3">
                  <c:v>31321.479999999996</c:v>
                </c:pt>
                <c:pt idx="4">
                  <c:v>31495.639999999996</c:v>
                </c:pt>
                <c:pt idx="5">
                  <c:v>31669.799999999996</c:v>
                </c:pt>
                <c:pt idx="6">
                  <c:v>31843.959999999995</c:v>
                </c:pt>
                <c:pt idx="7">
                  <c:v>32018.119999999995</c:v>
                </c:pt>
                <c:pt idx="8">
                  <c:v>32192.279999999995</c:v>
                </c:pt>
                <c:pt idx="9">
                  <c:v>32366.439999999995</c:v>
                </c:pt>
                <c:pt idx="10">
                  <c:v>32540.599999999995</c:v>
                </c:pt>
                <c:pt idx="11">
                  <c:v>32714.759999999995</c:v>
                </c:pt>
                <c:pt idx="12">
                  <c:v>32888.92</c:v>
                </c:pt>
                <c:pt idx="13">
                  <c:v>33063.08</c:v>
                </c:pt>
                <c:pt idx="14">
                  <c:v>33237.240000000005</c:v>
                </c:pt>
                <c:pt idx="15">
                  <c:v>33411.400000000009</c:v>
                </c:pt>
                <c:pt idx="16">
                  <c:v>33585.560000000012</c:v>
                </c:pt>
                <c:pt idx="17">
                  <c:v>33759.720000000016</c:v>
                </c:pt>
                <c:pt idx="18">
                  <c:v>33933.880000000019</c:v>
                </c:pt>
                <c:pt idx="19">
                  <c:v>34108.040000000023</c:v>
                </c:pt>
                <c:pt idx="20">
                  <c:v>34282.200000000026</c:v>
                </c:pt>
                <c:pt idx="21">
                  <c:v>34456.36000000003</c:v>
                </c:pt>
                <c:pt idx="22">
                  <c:v>34630.520000000033</c:v>
                </c:pt>
                <c:pt idx="23">
                  <c:v>34804.680000000037</c:v>
                </c:pt>
                <c:pt idx="24">
                  <c:v>34978.84000000004</c:v>
                </c:pt>
                <c:pt idx="25">
                  <c:v>35153.000000000044</c:v>
                </c:pt>
              </c:numCache>
            </c:numRef>
          </c:yVal>
          <c:smooth val="0"/>
          <c:extLst>
            <c:ext xmlns:c16="http://schemas.microsoft.com/office/drawing/2014/chart" uri="{C3380CC4-5D6E-409C-BE32-E72D297353CC}">
              <c16:uniqueId val="{0000000E-DD81-4E8A-842A-6117ECED7364}"/>
            </c:ext>
          </c:extLst>
        </c:ser>
        <c:ser>
          <c:idx val="4"/>
          <c:order val="4"/>
          <c:tx>
            <c:v>fuel</c:v>
          </c:tx>
          <c:spPr>
            <a:ln w="19050" cap="rnd">
              <a:solidFill>
                <a:srgbClr val="00B0F0"/>
              </a:solidFill>
              <a:round/>
            </a:ln>
            <a:effectLst/>
          </c:spPr>
          <c:marker>
            <c:symbol val="circle"/>
            <c:size val="5"/>
            <c:spPr>
              <a:solidFill>
                <a:schemeClr val="accent5"/>
              </a:solidFill>
              <a:ln w="9525">
                <a:solidFill>
                  <a:srgbClr val="00B0F0"/>
                </a:solidFill>
              </a:ln>
              <a:effectLst/>
            </c:spPr>
          </c:marker>
          <c:xVal>
            <c:numRef>
              <c:f>'CRJ-1000 Loading Diagram'!$Y$56:$Y$57</c:f>
              <c:numCache>
                <c:formatCode>General</c:formatCode>
                <c:ptCount val="2"/>
                <c:pt idx="0">
                  <c:v>0.18609797560577757</c:v>
                </c:pt>
                <c:pt idx="1">
                  <c:v>0.19605312527545385</c:v>
                </c:pt>
              </c:numCache>
            </c:numRef>
          </c:xVal>
          <c:yVal>
            <c:numRef>
              <c:f>'CRJ-1000 Loading Diagram'!$U$56:$U$57</c:f>
              <c:numCache>
                <c:formatCode>General</c:formatCode>
                <c:ptCount val="2"/>
                <c:pt idx="0">
                  <c:v>35153.000000000044</c:v>
                </c:pt>
                <c:pt idx="1">
                  <c:v>41640.000000000044</c:v>
                </c:pt>
              </c:numCache>
            </c:numRef>
          </c:yVal>
          <c:smooth val="0"/>
          <c:extLst>
            <c:ext xmlns:c16="http://schemas.microsoft.com/office/drawing/2014/chart" uri="{C3380CC4-5D6E-409C-BE32-E72D297353CC}">
              <c16:uniqueId val="{0000000F-DD81-4E8A-842A-6117ECED7364}"/>
            </c:ext>
          </c:extLst>
        </c:ser>
        <c:ser>
          <c:idx val="5"/>
          <c:order val="5"/>
          <c:tx>
            <c:v>passengers b-f window</c:v>
          </c:tx>
          <c:spPr>
            <a:ln w="19050" cap="rnd">
              <a:solidFill>
                <a:srgbClr val="00CC99"/>
              </a:solidFill>
              <a:round/>
            </a:ln>
            <a:effectLst/>
          </c:spPr>
          <c:marker>
            <c:symbol val="circle"/>
            <c:size val="5"/>
            <c:spPr>
              <a:solidFill>
                <a:srgbClr val="00CC99"/>
              </a:solidFill>
              <a:ln w="9525">
                <a:noFill/>
              </a:ln>
              <a:effectLst/>
            </c:spPr>
          </c:marker>
          <c:xVal>
            <c:numRef>
              <c:f>'CRJ-1000 Loading Diagram'!$N$6:$N$31</c:f>
              <c:numCache>
                <c:formatCode>General</c:formatCode>
                <c:ptCount val="26"/>
                <c:pt idx="0">
                  <c:v>0.64183427248056324</c:v>
                </c:pt>
                <c:pt idx="1">
                  <c:v>0.64778291383771147</c:v>
                </c:pt>
                <c:pt idx="2">
                  <c:v>0.65216517544660069</c:v>
                </c:pt>
                <c:pt idx="3">
                  <c:v>0.6550114050479473</c:v>
                </c:pt>
                <c:pt idx="4">
                  <c:v>0.65635117145201427</c:v>
                </c:pt>
                <c:pt idx="5">
                  <c:v>0.65621328937011358</c:v>
                </c:pt>
                <c:pt idx="6">
                  <c:v>0.65462584330222251</c:v>
                </c:pt>
                <c:pt idx="7">
                  <c:v>0.65161621052227336</c:v>
                </c:pt>
                <c:pt idx="8">
                  <c:v>0.64721108320066645</c:v>
                </c:pt>
                <c:pt idx="9">
                  <c:v>0.64143648970151457</c:v>
                </c:pt>
                <c:pt idx="10">
                  <c:v>0.63431781509036445</c:v>
                </c:pt>
                <c:pt idx="11">
                  <c:v>0.62587982088627825</c:v>
                </c:pt>
                <c:pt idx="12">
                  <c:v>0.61614666409060503</c:v>
                </c:pt>
                <c:pt idx="13">
                  <c:v>0.60514191552312735</c:v>
                </c:pt>
                <c:pt idx="14">
                  <c:v>0.59288857749484003</c:v>
                </c:pt>
                <c:pt idx="15">
                  <c:v>0.57940910084516373</c:v>
                </c:pt>
                <c:pt idx="16">
                  <c:v>0.56472540137014038</c:v>
                </c:pt>
                <c:pt idx="17">
                  <c:v>0.5488588756668209</c:v>
                </c:pt>
                <c:pt idx="18">
                  <c:v>0.53183041641792372</c:v>
                </c:pt>
                <c:pt idx="19">
                  <c:v>0.51366042713970983</c:v>
                </c:pt>
                <c:pt idx="20">
                  <c:v>0.49436883641490775</c:v>
                </c:pt>
                <c:pt idx="21">
                  <c:v>0.47397511163158668</c:v>
                </c:pt>
                <c:pt idx="22">
                  <c:v>0.4524982722478228</c:v>
                </c:pt>
                <c:pt idx="23">
                  <c:v>0.42995690260118941</c:v>
                </c:pt>
                <c:pt idx="24">
                  <c:v>0.40636916428115893</c:v>
                </c:pt>
                <c:pt idx="25">
                  <c:v>0.38175280808173495</c:v>
                </c:pt>
              </c:numCache>
            </c:numRef>
          </c:xVal>
          <c:yVal>
            <c:numRef>
              <c:f>'CRJ-1000 Loading Diagram'!$J$6:$J$31</c:f>
              <c:numCache>
                <c:formatCode>General</c:formatCode>
                <c:ptCount val="26"/>
                <c:pt idx="0">
                  <c:v>26445</c:v>
                </c:pt>
                <c:pt idx="1">
                  <c:v>26619.16</c:v>
                </c:pt>
                <c:pt idx="2">
                  <c:v>26793.32</c:v>
                </c:pt>
                <c:pt idx="3">
                  <c:v>26967.48</c:v>
                </c:pt>
                <c:pt idx="4">
                  <c:v>27141.64</c:v>
                </c:pt>
                <c:pt idx="5">
                  <c:v>27315.8</c:v>
                </c:pt>
                <c:pt idx="6">
                  <c:v>27489.96</c:v>
                </c:pt>
                <c:pt idx="7">
                  <c:v>27664.12</c:v>
                </c:pt>
                <c:pt idx="8">
                  <c:v>27838.28</c:v>
                </c:pt>
                <c:pt idx="9">
                  <c:v>28012.44</c:v>
                </c:pt>
                <c:pt idx="10">
                  <c:v>28186.6</c:v>
                </c:pt>
                <c:pt idx="11">
                  <c:v>28360.76</c:v>
                </c:pt>
                <c:pt idx="12">
                  <c:v>28534.92</c:v>
                </c:pt>
                <c:pt idx="13">
                  <c:v>28709.079999999998</c:v>
                </c:pt>
                <c:pt idx="14">
                  <c:v>28883.239999999998</c:v>
                </c:pt>
                <c:pt idx="15">
                  <c:v>29057.399999999998</c:v>
                </c:pt>
                <c:pt idx="16">
                  <c:v>29231.559999999998</c:v>
                </c:pt>
                <c:pt idx="17">
                  <c:v>29405.719999999998</c:v>
                </c:pt>
                <c:pt idx="18">
                  <c:v>29579.879999999997</c:v>
                </c:pt>
                <c:pt idx="19">
                  <c:v>29754.039999999997</c:v>
                </c:pt>
                <c:pt idx="20">
                  <c:v>29928.199999999997</c:v>
                </c:pt>
                <c:pt idx="21">
                  <c:v>30102.359999999997</c:v>
                </c:pt>
                <c:pt idx="22">
                  <c:v>30276.519999999997</c:v>
                </c:pt>
                <c:pt idx="23">
                  <c:v>30450.679999999997</c:v>
                </c:pt>
                <c:pt idx="24">
                  <c:v>30624.839999999997</c:v>
                </c:pt>
                <c:pt idx="25">
                  <c:v>30798.999999999996</c:v>
                </c:pt>
              </c:numCache>
            </c:numRef>
          </c:yVal>
          <c:smooth val="0"/>
          <c:extLst>
            <c:ext xmlns:c16="http://schemas.microsoft.com/office/drawing/2014/chart" uri="{C3380CC4-5D6E-409C-BE32-E72D297353CC}">
              <c16:uniqueId val="{00000010-DD81-4E8A-842A-6117ECED7364}"/>
            </c:ext>
          </c:extLst>
        </c:ser>
        <c:ser>
          <c:idx val="6"/>
          <c:order val="6"/>
          <c:tx>
            <c:v>passengers b-f aisle</c:v>
          </c:tx>
          <c:spPr>
            <a:ln w="19050" cap="rnd">
              <a:solidFill>
                <a:srgbClr val="FF33CC"/>
              </a:solidFill>
              <a:round/>
            </a:ln>
            <a:effectLst/>
          </c:spPr>
          <c:marker>
            <c:symbol val="circle"/>
            <c:size val="5"/>
            <c:spPr>
              <a:solidFill>
                <a:srgbClr val="FF33CC"/>
              </a:solidFill>
              <a:ln w="9525">
                <a:noFill/>
              </a:ln>
              <a:effectLst/>
            </c:spPr>
          </c:marker>
          <c:xVal>
            <c:numRef>
              <c:f>'CRJ-1000 Loading Diagram'!$N$31:$N$56</c:f>
              <c:numCache>
                <c:formatCode>General</c:formatCode>
                <c:ptCount val="26"/>
                <c:pt idx="0">
                  <c:v>0.38175280808173495</c:v>
                </c:pt>
                <c:pt idx="1">
                  <c:v>0.38832764978042644</c:v>
                </c:pt>
                <c:pt idx="2">
                  <c:v>0.39354806894968053</c:v>
                </c:pt>
                <c:pt idx="3">
                  <c:v>0.39743665898812125</c:v>
                </c:pt>
                <c:pt idx="4">
                  <c:v>0.40001551355964493</c:v>
                </c:pt>
                <c:pt idx="5">
                  <c:v>0.40130624033423057</c:v>
                </c:pt>
                <c:pt idx="6">
                  <c:v>0.40132997427785966</c:v>
                </c:pt>
                <c:pt idx="7">
                  <c:v>0.40010739050869643</c:v>
                </c:pt>
                <c:pt idx="8">
                  <c:v>0.39765871673594716</c:v>
                </c:pt>
                <c:pt idx="9">
                  <c:v>0.39400374529713977</c:v>
                </c:pt>
                <c:pt idx="10">
                  <c:v>0.38916184480885163</c:v>
                </c:pt>
                <c:pt idx="11">
                  <c:v>0.38315197144529173</c:v>
                </c:pt>
                <c:pt idx="12">
                  <c:v>0.37599267985853946</c:v>
                </c:pt>
                <c:pt idx="13">
                  <c:v>0.36770213375364685</c:v>
                </c:pt>
                <c:pt idx="14">
                  <c:v>0.35829811613126805</c:v>
                </c:pt>
                <c:pt idx="15">
                  <c:v>0.34779803920994073</c:v>
                </c:pt>
                <c:pt idx="16">
                  <c:v>0.33621895403965557</c:v>
                </c:pt>
                <c:pt idx="17">
                  <c:v>0.32357755981785574</c:v>
                </c:pt>
                <c:pt idx="18">
                  <c:v>0.30989021291856156</c:v>
                </c:pt>
                <c:pt idx="19">
                  <c:v>0.29517293564487074</c:v>
                </c:pt>
                <c:pt idx="20">
                  <c:v>0.27944142471467126</c:v>
                </c:pt>
                <c:pt idx="21">
                  <c:v>0.26271105948901302</c:v>
                </c:pt>
                <c:pt idx="22">
                  <c:v>0.24499690995218271</c:v>
                </c:pt>
                <c:pt idx="23">
                  <c:v>0.22631374445220018</c:v>
                </c:pt>
                <c:pt idx="24">
                  <c:v>0.20667603721006181</c:v>
                </c:pt>
                <c:pt idx="25">
                  <c:v>0.18609797560577757</c:v>
                </c:pt>
              </c:numCache>
            </c:numRef>
          </c:xVal>
          <c:yVal>
            <c:numRef>
              <c:f>'CRJ-1000 Loading Diagram'!$J$31:$J$56</c:f>
              <c:numCache>
                <c:formatCode>General</c:formatCode>
                <c:ptCount val="26"/>
                <c:pt idx="0">
                  <c:v>30798.999999999996</c:v>
                </c:pt>
                <c:pt idx="1">
                  <c:v>30973.159999999996</c:v>
                </c:pt>
                <c:pt idx="2">
                  <c:v>31147.319999999996</c:v>
                </c:pt>
                <c:pt idx="3">
                  <c:v>31321.479999999996</c:v>
                </c:pt>
                <c:pt idx="4">
                  <c:v>31495.639999999996</c:v>
                </c:pt>
                <c:pt idx="5">
                  <c:v>31669.799999999996</c:v>
                </c:pt>
                <c:pt idx="6">
                  <c:v>31843.959999999995</c:v>
                </c:pt>
                <c:pt idx="7">
                  <c:v>32018.119999999995</c:v>
                </c:pt>
                <c:pt idx="8">
                  <c:v>32192.279999999995</c:v>
                </c:pt>
                <c:pt idx="9">
                  <c:v>32366.439999999995</c:v>
                </c:pt>
                <c:pt idx="10">
                  <c:v>32540.599999999995</c:v>
                </c:pt>
                <c:pt idx="11">
                  <c:v>32714.759999999995</c:v>
                </c:pt>
                <c:pt idx="12">
                  <c:v>32888.92</c:v>
                </c:pt>
                <c:pt idx="13">
                  <c:v>33063.08</c:v>
                </c:pt>
                <c:pt idx="14">
                  <c:v>33237.240000000005</c:v>
                </c:pt>
                <c:pt idx="15">
                  <c:v>33411.400000000009</c:v>
                </c:pt>
                <c:pt idx="16">
                  <c:v>33585.560000000012</c:v>
                </c:pt>
                <c:pt idx="17">
                  <c:v>33759.720000000016</c:v>
                </c:pt>
                <c:pt idx="18">
                  <c:v>33933.880000000019</c:v>
                </c:pt>
                <c:pt idx="19">
                  <c:v>34108.040000000023</c:v>
                </c:pt>
                <c:pt idx="20">
                  <c:v>34282.200000000026</c:v>
                </c:pt>
                <c:pt idx="21">
                  <c:v>34456.36000000003</c:v>
                </c:pt>
                <c:pt idx="22">
                  <c:v>34630.520000000033</c:v>
                </c:pt>
                <c:pt idx="23">
                  <c:v>34804.680000000037</c:v>
                </c:pt>
                <c:pt idx="24">
                  <c:v>34978.84000000004</c:v>
                </c:pt>
                <c:pt idx="25">
                  <c:v>35153.000000000044</c:v>
                </c:pt>
              </c:numCache>
            </c:numRef>
          </c:yVal>
          <c:smooth val="0"/>
          <c:extLst>
            <c:ext xmlns:c16="http://schemas.microsoft.com/office/drawing/2014/chart" uri="{C3380CC4-5D6E-409C-BE32-E72D297353CC}">
              <c16:uniqueId val="{00000011-DD81-4E8A-842A-6117ECED7364}"/>
            </c:ext>
          </c:extLst>
        </c:ser>
        <c:dLbls>
          <c:showLegendKey val="0"/>
          <c:showVal val="0"/>
          <c:showCatName val="0"/>
          <c:showSerName val="0"/>
          <c:showPercent val="0"/>
          <c:showBubbleSize val="0"/>
        </c:dLbls>
        <c:axId val="1118949088"/>
        <c:axId val="1118950048"/>
      </c:scatterChart>
      <c:valAx>
        <c:axId val="1118949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xcg [mac]</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50048"/>
        <c:crosses val="autoZero"/>
        <c:crossBetween val="midCat"/>
      </c:valAx>
      <c:valAx>
        <c:axId val="1118950048"/>
        <c:scaling>
          <c:orientation val="minMax"/>
          <c:max val="42000"/>
          <c:min val="2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mass [kg]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49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pl-PL" sz="1600">
                <a:solidFill>
                  <a:schemeClr val="tx1"/>
                </a:solidFill>
                <a:latin typeface="Times New Roman" panose="02020603050405020304" pitchFamily="18" charset="0"/>
                <a:cs typeface="Times New Roman" panose="02020603050405020304" pitchFamily="18" charset="0"/>
              </a:rPr>
              <a:t>CRJ-1000 Loading Diagram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scatterChart>
        <c:scatterStyle val="lineMarker"/>
        <c:varyColors val="0"/>
        <c:ser>
          <c:idx val="0"/>
          <c:order val="0"/>
          <c:tx>
            <c:v>cargo f-b</c:v>
          </c:tx>
          <c:spPr>
            <a:ln w="19050" cap="rnd">
              <a:solidFill>
                <a:srgbClr val="C00000"/>
              </a:solidFill>
              <a:round/>
            </a:ln>
            <a:effectLst/>
          </c:spPr>
          <c:marker>
            <c:symbol val="star"/>
            <c:size val="5"/>
            <c:spPr>
              <a:noFill/>
              <a:ln w="9525">
                <a:solidFill>
                  <a:srgbClr val="C00000"/>
                </a:solidFill>
              </a:ln>
              <a:effectLst/>
            </c:spPr>
          </c:marker>
          <c:xVal>
            <c:numRef>
              <c:f>'CRJ-1000 Loading Diagram'!$Y$4:$Y$6</c:f>
              <c:numCache>
                <c:formatCode>General</c:formatCode>
                <c:ptCount val="3"/>
                <c:pt idx="0">
                  <c:v>0.54113264134586081</c:v>
                </c:pt>
                <c:pt idx="1">
                  <c:v>0.43023012061711347</c:v>
                </c:pt>
                <c:pt idx="2">
                  <c:v>0.64183427248056324</c:v>
                </c:pt>
              </c:numCache>
            </c:numRef>
          </c:xVal>
          <c:yVal>
            <c:numRef>
              <c:f>'CRJ-1000 Loading Diagram'!$U$4:$U$6</c:f>
              <c:numCache>
                <c:formatCode>General</c:formatCode>
                <c:ptCount val="3"/>
                <c:pt idx="0">
                  <c:v>23188</c:v>
                </c:pt>
                <c:pt idx="1">
                  <c:v>24058.961870869345</c:v>
                </c:pt>
                <c:pt idx="2">
                  <c:v>26445</c:v>
                </c:pt>
              </c:numCache>
            </c:numRef>
          </c:yVal>
          <c:smooth val="0"/>
          <c:extLst>
            <c:ext xmlns:c16="http://schemas.microsoft.com/office/drawing/2014/chart" uri="{C3380CC4-5D6E-409C-BE32-E72D297353CC}">
              <c16:uniqueId val="{00000000-02F7-4B6D-A23E-7E5A938AE05A}"/>
            </c:ext>
          </c:extLst>
        </c:ser>
        <c:ser>
          <c:idx val="1"/>
          <c:order val="1"/>
          <c:tx>
            <c:v>cargo b-f</c:v>
          </c:tx>
          <c:spPr>
            <a:ln w="19050" cap="rnd">
              <a:solidFill>
                <a:srgbClr val="7030A0"/>
              </a:solidFill>
              <a:round/>
            </a:ln>
            <a:effectLst/>
          </c:spPr>
          <c:marker>
            <c:symbol val="star"/>
            <c:size val="5"/>
            <c:spPr>
              <a:noFill/>
              <a:ln w="9525">
                <a:solidFill>
                  <a:srgbClr val="7030A0"/>
                </a:solidFill>
              </a:ln>
              <a:effectLst/>
            </c:spPr>
          </c:marker>
          <c:xVal>
            <c:numRef>
              <c:f>'CRJ-1000 Loading Diagram'!$N$4:$N$6</c:f>
              <c:numCache>
                <c:formatCode>General</c:formatCode>
                <c:ptCount val="3"/>
                <c:pt idx="0">
                  <c:v>0.54113264134586081</c:v>
                </c:pt>
                <c:pt idx="1">
                  <c:v>0.74959616697425113</c:v>
                </c:pt>
                <c:pt idx="2">
                  <c:v>0.64183427248056324</c:v>
                </c:pt>
              </c:numCache>
            </c:numRef>
          </c:xVal>
          <c:yVal>
            <c:numRef>
              <c:f>'CRJ-1000 Loading Diagram'!$J$4:$J$6</c:f>
              <c:numCache>
                <c:formatCode>General</c:formatCode>
                <c:ptCount val="3"/>
                <c:pt idx="0">
                  <c:v>23188</c:v>
                </c:pt>
                <c:pt idx="1">
                  <c:v>25574.038129130655</c:v>
                </c:pt>
                <c:pt idx="2">
                  <c:v>26445</c:v>
                </c:pt>
              </c:numCache>
            </c:numRef>
          </c:yVal>
          <c:smooth val="0"/>
          <c:extLst>
            <c:ext xmlns:c16="http://schemas.microsoft.com/office/drawing/2014/chart" uri="{C3380CC4-5D6E-409C-BE32-E72D297353CC}">
              <c16:uniqueId val="{00000001-02F7-4B6D-A23E-7E5A938AE05A}"/>
            </c:ext>
          </c:extLst>
        </c:ser>
        <c:ser>
          <c:idx val="2"/>
          <c:order val="2"/>
          <c:tx>
            <c:v>passengers f-b window</c:v>
          </c:tx>
          <c:spPr>
            <a:ln w="19050" cap="rnd">
              <a:solidFill>
                <a:schemeClr val="accent1">
                  <a:lumMod val="75000"/>
                </a:schemeClr>
              </a:solidFill>
              <a:round/>
            </a:ln>
            <a:effectLst/>
          </c:spPr>
          <c:marker>
            <c:symbol val="triangle"/>
            <c:size val="5"/>
            <c:spPr>
              <a:solidFill>
                <a:schemeClr val="accent1">
                  <a:lumMod val="75000"/>
                </a:schemeClr>
              </a:solidFill>
              <a:ln w="9525">
                <a:noFill/>
              </a:ln>
              <a:effectLst/>
            </c:spPr>
          </c:marker>
          <c:xVal>
            <c:numRef>
              <c:f>'CRJ-1000 Loading Diagram'!$Y$6:$Y$31</c:f>
              <c:numCache>
                <c:formatCode>General</c:formatCode>
                <c:ptCount val="26"/>
                <c:pt idx="0">
                  <c:v>0.64183427248056324</c:v>
                </c:pt>
                <c:pt idx="1">
                  <c:v>0.61181199687794885</c:v>
                </c:pt>
                <c:pt idx="2">
                  <c:v>0.58366906441448241</c:v>
                </c:pt>
                <c:pt idx="3">
                  <c:v>0.5573690638569565</c:v>
                </c:pt>
                <c:pt idx="4">
                  <c:v>0.53287651853328022</c:v>
                </c:pt>
                <c:pt idx="5">
                  <c:v>0.5101568565396285</c:v>
                </c:pt>
                <c:pt idx="6">
                  <c:v>0.48917638208007036</c:v>
                </c:pt>
                <c:pt idx="7">
                  <c:v>0.46990224788880386</c:v>
                </c:pt>
                <c:pt idx="8">
                  <c:v>0.45230242868756526</c:v>
                </c:pt>
                <c:pt idx="9">
                  <c:v>0.4363456956331716</c:v>
                </c:pt>
                <c:pt idx="10">
                  <c:v>0.42200159171235913</c:v>
                </c:pt>
                <c:pt idx="11">
                  <c:v>0.40924040804321787</c:v>
                </c:pt>
                <c:pt idx="12">
                  <c:v>0.39803316104447239</c:v>
                </c:pt>
                <c:pt idx="13">
                  <c:v>0.38835157043574869</c:v>
                </c:pt>
                <c:pt idx="14">
                  <c:v>0.38016803803379118</c:v>
                </c:pt>
                <c:pt idx="15">
                  <c:v>0.37345562731117549</c:v>
                </c:pt>
                <c:pt idx="16">
                  <c:v>0.36818804368578162</c:v>
                </c:pt>
                <c:pt idx="17">
                  <c:v>0.36433961551066968</c:v>
                </c:pt>
                <c:pt idx="18">
                  <c:v>0.36188527573554685</c:v>
                </c:pt>
                <c:pt idx="19">
                  <c:v>0.36080054421226371</c:v>
                </c:pt>
                <c:pt idx="20">
                  <c:v>0.36106151061813513</c:v>
                </c:pt>
                <c:pt idx="21">
                  <c:v>0.36264481797204534</c:v>
                </c:pt>
                <c:pt idx="22">
                  <c:v>0.36552764671948473</c:v>
                </c:pt>
                <c:pt idx="23">
                  <c:v>0.36968769936372281</c:v>
                </c:pt>
                <c:pt idx="24">
                  <c:v>0.37510318562139644</c:v>
                </c:pt>
                <c:pt idx="25">
                  <c:v>0.38175280808173495</c:v>
                </c:pt>
              </c:numCache>
            </c:numRef>
          </c:xVal>
          <c:yVal>
            <c:numRef>
              <c:f>'CRJ-1000 Loading Diagram'!$U$6:$U$31</c:f>
              <c:numCache>
                <c:formatCode>General</c:formatCode>
                <c:ptCount val="26"/>
                <c:pt idx="0">
                  <c:v>26445</c:v>
                </c:pt>
                <c:pt idx="1">
                  <c:v>26619.16</c:v>
                </c:pt>
                <c:pt idx="2">
                  <c:v>26793.32</c:v>
                </c:pt>
                <c:pt idx="3">
                  <c:v>26967.48</c:v>
                </c:pt>
                <c:pt idx="4">
                  <c:v>27141.64</c:v>
                </c:pt>
                <c:pt idx="5">
                  <c:v>27315.8</c:v>
                </c:pt>
                <c:pt idx="6">
                  <c:v>27489.96</c:v>
                </c:pt>
                <c:pt idx="7">
                  <c:v>27664.12</c:v>
                </c:pt>
                <c:pt idx="8">
                  <c:v>27838.28</c:v>
                </c:pt>
                <c:pt idx="9">
                  <c:v>28012.44</c:v>
                </c:pt>
                <c:pt idx="10">
                  <c:v>28186.6</c:v>
                </c:pt>
                <c:pt idx="11">
                  <c:v>28360.76</c:v>
                </c:pt>
                <c:pt idx="12">
                  <c:v>28534.92</c:v>
                </c:pt>
                <c:pt idx="13">
                  <c:v>28709.079999999998</c:v>
                </c:pt>
                <c:pt idx="14">
                  <c:v>28883.239999999998</c:v>
                </c:pt>
                <c:pt idx="15">
                  <c:v>29057.399999999998</c:v>
                </c:pt>
                <c:pt idx="16">
                  <c:v>29231.559999999998</c:v>
                </c:pt>
                <c:pt idx="17">
                  <c:v>29405.719999999998</c:v>
                </c:pt>
                <c:pt idx="18">
                  <c:v>29579.879999999997</c:v>
                </c:pt>
                <c:pt idx="19">
                  <c:v>29754.039999999997</c:v>
                </c:pt>
                <c:pt idx="20">
                  <c:v>29928.199999999997</c:v>
                </c:pt>
                <c:pt idx="21">
                  <c:v>30102.359999999997</c:v>
                </c:pt>
                <c:pt idx="22">
                  <c:v>30276.519999999997</c:v>
                </c:pt>
                <c:pt idx="23">
                  <c:v>30450.679999999997</c:v>
                </c:pt>
                <c:pt idx="24">
                  <c:v>30624.839999999997</c:v>
                </c:pt>
                <c:pt idx="25">
                  <c:v>30798.999999999996</c:v>
                </c:pt>
              </c:numCache>
            </c:numRef>
          </c:yVal>
          <c:smooth val="0"/>
          <c:extLst>
            <c:ext xmlns:c16="http://schemas.microsoft.com/office/drawing/2014/chart" uri="{C3380CC4-5D6E-409C-BE32-E72D297353CC}">
              <c16:uniqueId val="{00000002-02F7-4B6D-A23E-7E5A938AE05A}"/>
            </c:ext>
          </c:extLst>
        </c:ser>
        <c:ser>
          <c:idx val="3"/>
          <c:order val="3"/>
          <c:tx>
            <c:v>passengers f-b aisle</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'CRJ-1000 Loading Diagram'!$Y$31:$Y$56</c:f>
              <c:numCache>
                <c:formatCode>General</c:formatCode>
                <c:ptCount val="26"/>
                <c:pt idx="0">
                  <c:v>0.38175280808173495</c:v>
                </c:pt>
                <c:pt idx="1">
                  <c:v>0.35741328412000833</c:v>
                </c:pt>
                <c:pt idx="2">
                  <c:v>0.33462684485595151</c:v>
                </c:pt>
                <c:pt idx="3">
                  <c:v>0.31336758296677036</c:v>
                </c:pt>
                <c:pt idx="4">
                  <c:v>0.29361016416381636</c:v>
                </c:pt>
                <c:pt idx="5">
                  <c:v>0.27532981143632157</c:v>
                </c:pt>
                <c:pt idx="6">
                  <c:v>0.25850228981215578</c:v>
                </c:pt>
                <c:pt idx="7">
                  <c:v>0.24310389161594956</c:v>
                </c:pt>
                <c:pt idx="8">
                  <c:v>0.2291114222057376</c:v>
                </c:pt>
                <c:pt idx="9">
                  <c:v>0.21650218617009834</c:v>
                </c:pt>
                <c:pt idx="10">
                  <c:v>0.20525397396853259</c:v>
                </c:pt>
                <c:pt idx="11">
                  <c:v>0.19534504899857494</c:v>
                </c:pt>
                <c:pt idx="12">
                  <c:v>0.1867541350738165</c:v>
                </c:pt>
                <c:pt idx="13">
                  <c:v>0.17946040429767426</c:v>
                </c:pt>
                <c:pt idx="14">
                  <c:v>0.17344346531841701</c:v>
                </c:pt>
                <c:pt idx="15">
                  <c:v>0.16868335195150524</c:v>
                </c:pt>
                <c:pt idx="16">
                  <c:v>0.16516051215594657</c:v>
                </c:pt>
                <c:pt idx="17">
                  <c:v>0.16285579735184721</c:v>
                </c:pt>
                <c:pt idx="18">
                  <c:v>0.16175045206693447</c:v>
                </c:pt>
                <c:pt idx="19">
                  <c:v>0.16182610390025809</c:v>
                </c:pt>
                <c:pt idx="20">
                  <c:v>0.16306475379183197</c:v>
                </c:pt>
                <c:pt idx="21">
                  <c:v>0.16544876658734781</c:v>
                </c:pt>
                <c:pt idx="22">
                  <c:v>0.1689608618876077</c:v>
                </c:pt>
                <c:pt idx="23">
                  <c:v>0.17358410517268119</c:v>
                </c:pt>
                <c:pt idx="24">
                  <c:v>0.17930189919122957</c:v>
                </c:pt>
                <c:pt idx="25">
                  <c:v>0.18609797560577757</c:v>
                </c:pt>
              </c:numCache>
            </c:numRef>
          </c:xVal>
          <c:yVal>
            <c:numRef>
              <c:f>'CRJ-1000 Loading Diagram'!$U$31:$U$56</c:f>
              <c:numCache>
                <c:formatCode>General</c:formatCode>
                <c:ptCount val="26"/>
                <c:pt idx="0">
                  <c:v>30798.999999999996</c:v>
                </c:pt>
                <c:pt idx="1">
                  <c:v>30973.159999999996</c:v>
                </c:pt>
                <c:pt idx="2">
                  <c:v>31147.319999999996</c:v>
                </c:pt>
                <c:pt idx="3">
                  <c:v>31321.479999999996</c:v>
                </c:pt>
                <c:pt idx="4">
                  <c:v>31495.639999999996</c:v>
                </c:pt>
                <c:pt idx="5">
                  <c:v>31669.799999999996</c:v>
                </c:pt>
                <c:pt idx="6">
                  <c:v>31843.959999999995</c:v>
                </c:pt>
                <c:pt idx="7">
                  <c:v>32018.119999999995</c:v>
                </c:pt>
                <c:pt idx="8">
                  <c:v>32192.279999999995</c:v>
                </c:pt>
                <c:pt idx="9">
                  <c:v>32366.439999999995</c:v>
                </c:pt>
                <c:pt idx="10">
                  <c:v>32540.599999999995</c:v>
                </c:pt>
                <c:pt idx="11">
                  <c:v>32714.759999999995</c:v>
                </c:pt>
                <c:pt idx="12">
                  <c:v>32888.92</c:v>
                </c:pt>
                <c:pt idx="13">
                  <c:v>33063.08</c:v>
                </c:pt>
                <c:pt idx="14">
                  <c:v>33237.240000000005</c:v>
                </c:pt>
                <c:pt idx="15">
                  <c:v>33411.400000000009</c:v>
                </c:pt>
                <c:pt idx="16">
                  <c:v>33585.560000000012</c:v>
                </c:pt>
                <c:pt idx="17">
                  <c:v>33759.720000000016</c:v>
                </c:pt>
                <c:pt idx="18">
                  <c:v>33933.880000000019</c:v>
                </c:pt>
                <c:pt idx="19">
                  <c:v>34108.040000000023</c:v>
                </c:pt>
                <c:pt idx="20">
                  <c:v>34282.200000000026</c:v>
                </c:pt>
                <c:pt idx="21">
                  <c:v>34456.36000000003</c:v>
                </c:pt>
                <c:pt idx="22">
                  <c:v>34630.520000000033</c:v>
                </c:pt>
                <c:pt idx="23">
                  <c:v>34804.680000000037</c:v>
                </c:pt>
                <c:pt idx="24">
                  <c:v>34978.84000000004</c:v>
                </c:pt>
                <c:pt idx="25">
                  <c:v>35153.000000000044</c:v>
                </c:pt>
              </c:numCache>
            </c:numRef>
          </c:yVal>
          <c:smooth val="0"/>
          <c:extLst>
            <c:ext xmlns:c16="http://schemas.microsoft.com/office/drawing/2014/chart" uri="{C3380CC4-5D6E-409C-BE32-E72D297353CC}">
              <c16:uniqueId val="{00000003-02F7-4B6D-A23E-7E5A938AE05A}"/>
            </c:ext>
          </c:extLst>
        </c:ser>
        <c:ser>
          <c:idx val="4"/>
          <c:order val="4"/>
          <c:tx>
            <c:v>fuel</c:v>
          </c:tx>
          <c:spPr>
            <a:ln w="19050" cap="rnd">
              <a:solidFill>
                <a:srgbClr val="00B0F0"/>
              </a:solidFill>
              <a:round/>
            </a:ln>
            <a:effectLst/>
          </c:spPr>
          <c:marker>
            <c:symbol val="circle"/>
            <c:size val="5"/>
            <c:spPr>
              <a:solidFill>
                <a:schemeClr val="accent5"/>
              </a:solidFill>
              <a:ln w="9525">
                <a:solidFill>
                  <a:srgbClr val="00B0F0"/>
                </a:solidFill>
              </a:ln>
              <a:effectLst/>
            </c:spPr>
          </c:marker>
          <c:xVal>
            <c:numRef>
              <c:f>'CRJ-1000 Loading Diagram'!$Y$56:$Y$57</c:f>
              <c:numCache>
                <c:formatCode>General</c:formatCode>
                <c:ptCount val="2"/>
                <c:pt idx="0">
                  <c:v>0.18609797560577757</c:v>
                </c:pt>
                <c:pt idx="1">
                  <c:v>0.19605312527545385</c:v>
                </c:pt>
              </c:numCache>
            </c:numRef>
          </c:xVal>
          <c:yVal>
            <c:numRef>
              <c:f>'CRJ-1000 Loading Diagram'!$U$56:$U$57</c:f>
              <c:numCache>
                <c:formatCode>General</c:formatCode>
                <c:ptCount val="2"/>
                <c:pt idx="0">
                  <c:v>35153.000000000044</c:v>
                </c:pt>
                <c:pt idx="1">
                  <c:v>41640.000000000044</c:v>
                </c:pt>
              </c:numCache>
            </c:numRef>
          </c:yVal>
          <c:smooth val="0"/>
          <c:extLst>
            <c:ext xmlns:c16="http://schemas.microsoft.com/office/drawing/2014/chart" uri="{C3380CC4-5D6E-409C-BE32-E72D297353CC}">
              <c16:uniqueId val="{00000004-02F7-4B6D-A23E-7E5A938AE05A}"/>
            </c:ext>
          </c:extLst>
        </c:ser>
        <c:ser>
          <c:idx val="5"/>
          <c:order val="5"/>
          <c:tx>
            <c:v>passengers b-f window</c:v>
          </c:tx>
          <c:spPr>
            <a:ln w="19050" cap="rnd">
              <a:solidFill>
                <a:srgbClr val="00CC99"/>
              </a:solidFill>
              <a:round/>
            </a:ln>
            <a:effectLst/>
          </c:spPr>
          <c:marker>
            <c:symbol val="triangle"/>
            <c:size val="5"/>
            <c:spPr>
              <a:solidFill>
                <a:srgbClr val="00CC99">
                  <a:alpha val="97000"/>
                </a:srgbClr>
              </a:solidFill>
              <a:ln w="9525">
                <a:noFill/>
              </a:ln>
              <a:effectLst/>
            </c:spPr>
          </c:marker>
          <c:xVal>
            <c:numRef>
              <c:f>'CRJ-1000 Loading Diagram'!$N$6:$N$31</c:f>
              <c:numCache>
                <c:formatCode>General</c:formatCode>
                <c:ptCount val="26"/>
                <c:pt idx="0">
                  <c:v>0.64183427248056324</c:v>
                </c:pt>
                <c:pt idx="1">
                  <c:v>0.64778291383771147</c:v>
                </c:pt>
                <c:pt idx="2">
                  <c:v>0.65216517544660069</c:v>
                </c:pt>
                <c:pt idx="3">
                  <c:v>0.6550114050479473</c:v>
                </c:pt>
                <c:pt idx="4">
                  <c:v>0.65635117145201427</c:v>
                </c:pt>
                <c:pt idx="5">
                  <c:v>0.65621328937011358</c:v>
                </c:pt>
                <c:pt idx="6">
                  <c:v>0.65462584330222251</c:v>
                </c:pt>
                <c:pt idx="7">
                  <c:v>0.65161621052227336</c:v>
                </c:pt>
                <c:pt idx="8">
                  <c:v>0.64721108320066645</c:v>
                </c:pt>
                <c:pt idx="9">
                  <c:v>0.64143648970151457</c:v>
                </c:pt>
                <c:pt idx="10">
                  <c:v>0.63431781509036445</c:v>
                </c:pt>
                <c:pt idx="11">
                  <c:v>0.62587982088627825</c:v>
                </c:pt>
                <c:pt idx="12">
                  <c:v>0.61614666409060503</c:v>
                </c:pt>
                <c:pt idx="13">
                  <c:v>0.60514191552312735</c:v>
                </c:pt>
                <c:pt idx="14">
                  <c:v>0.59288857749484003</c:v>
                </c:pt>
                <c:pt idx="15">
                  <c:v>0.57940910084516373</c:v>
                </c:pt>
                <c:pt idx="16">
                  <c:v>0.56472540137014038</c:v>
                </c:pt>
                <c:pt idx="17">
                  <c:v>0.5488588756668209</c:v>
                </c:pt>
                <c:pt idx="18">
                  <c:v>0.53183041641792372</c:v>
                </c:pt>
                <c:pt idx="19">
                  <c:v>0.51366042713970983</c:v>
                </c:pt>
                <c:pt idx="20">
                  <c:v>0.49436883641490775</c:v>
                </c:pt>
                <c:pt idx="21">
                  <c:v>0.47397511163158668</c:v>
                </c:pt>
                <c:pt idx="22">
                  <c:v>0.4524982722478228</c:v>
                </c:pt>
                <c:pt idx="23">
                  <c:v>0.42995690260118941</c:v>
                </c:pt>
                <c:pt idx="24">
                  <c:v>0.40636916428115893</c:v>
                </c:pt>
                <c:pt idx="25">
                  <c:v>0.38175280808173495</c:v>
                </c:pt>
              </c:numCache>
            </c:numRef>
          </c:xVal>
          <c:yVal>
            <c:numRef>
              <c:f>'CRJ-1000 Loading Diagram'!$J$6:$J$31</c:f>
              <c:numCache>
                <c:formatCode>General</c:formatCode>
                <c:ptCount val="26"/>
                <c:pt idx="0">
                  <c:v>26445</c:v>
                </c:pt>
                <c:pt idx="1">
                  <c:v>26619.16</c:v>
                </c:pt>
                <c:pt idx="2">
                  <c:v>26793.32</c:v>
                </c:pt>
                <c:pt idx="3">
                  <c:v>26967.48</c:v>
                </c:pt>
                <c:pt idx="4">
                  <c:v>27141.64</c:v>
                </c:pt>
                <c:pt idx="5">
                  <c:v>27315.8</c:v>
                </c:pt>
                <c:pt idx="6">
                  <c:v>27489.96</c:v>
                </c:pt>
                <c:pt idx="7">
                  <c:v>27664.12</c:v>
                </c:pt>
                <c:pt idx="8">
                  <c:v>27838.28</c:v>
                </c:pt>
                <c:pt idx="9">
                  <c:v>28012.44</c:v>
                </c:pt>
                <c:pt idx="10">
                  <c:v>28186.6</c:v>
                </c:pt>
                <c:pt idx="11">
                  <c:v>28360.76</c:v>
                </c:pt>
                <c:pt idx="12">
                  <c:v>28534.92</c:v>
                </c:pt>
                <c:pt idx="13">
                  <c:v>28709.079999999998</c:v>
                </c:pt>
                <c:pt idx="14">
                  <c:v>28883.239999999998</c:v>
                </c:pt>
                <c:pt idx="15">
                  <c:v>29057.399999999998</c:v>
                </c:pt>
                <c:pt idx="16">
                  <c:v>29231.559999999998</c:v>
                </c:pt>
                <c:pt idx="17">
                  <c:v>29405.719999999998</c:v>
                </c:pt>
                <c:pt idx="18">
                  <c:v>29579.879999999997</c:v>
                </c:pt>
                <c:pt idx="19">
                  <c:v>29754.039999999997</c:v>
                </c:pt>
                <c:pt idx="20">
                  <c:v>29928.199999999997</c:v>
                </c:pt>
                <c:pt idx="21">
                  <c:v>30102.359999999997</c:v>
                </c:pt>
                <c:pt idx="22">
                  <c:v>30276.519999999997</c:v>
                </c:pt>
                <c:pt idx="23">
                  <c:v>30450.679999999997</c:v>
                </c:pt>
                <c:pt idx="24">
                  <c:v>30624.839999999997</c:v>
                </c:pt>
                <c:pt idx="25">
                  <c:v>30798.999999999996</c:v>
                </c:pt>
              </c:numCache>
            </c:numRef>
          </c:yVal>
          <c:smooth val="0"/>
          <c:extLst>
            <c:ext xmlns:c16="http://schemas.microsoft.com/office/drawing/2014/chart" uri="{C3380CC4-5D6E-409C-BE32-E72D297353CC}">
              <c16:uniqueId val="{00000005-02F7-4B6D-A23E-7E5A938AE05A}"/>
            </c:ext>
          </c:extLst>
        </c:ser>
        <c:ser>
          <c:idx val="6"/>
          <c:order val="6"/>
          <c:tx>
            <c:v>passengers b-f aisle</c:v>
          </c:tx>
          <c:spPr>
            <a:ln w="19050" cap="rnd">
              <a:solidFill>
                <a:srgbClr val="FF33CC"/>
              </a:solidFill>
              <a:round/>
            </a:ln>
            <a:effectLst/>
          </c:spPr>
          <c:marker>
            <c:symbol val="circle"/>
            <c:size val="5"/>
            <c:spPr>
              <a:solidFill>
                <a:srgbClr val="FF33CC"/>
              </a:solidFill>
              <a:ln w="9525">
                <a:noFill/>
              </a:ln>
              <a:effectLst/>
            </c:spPr>
          </c:marker>
          <c:xVal>
            <c:numRef>
              <c:f>'CRJ-1000 Loading Diagram'!$N$31:$N$56</c:f>
              <c:numCache>
                <c:formatCode>General</c:formatCode>
                <c:ptCount val="26"/>
                <c:pt idx="0">
                  <c:v>0.38175280808173495</c:v>
                </c:pt>
                <c:pt idx="1">
                  <c:v>0.38832764978042644</c:v>
                </c:pt>
                <c:pt idx="2">
                  <c:v>0.39354806894968053</c:v>
                </c:pt>
                <c:pt idx="3">
                  <c:v>0.39743665898812125</c:v>
                </c:pt>
                <c:pt idx="4">
                  <c:v>0.40001551355964493</c:v>
                </c:pt>
                <c:pt idx="5">
                  <c:v>0.40130624033423057</c:v>
                </c:pt>
                <c:pt idx="6">
                  <c:v>0.40132997427785966</c:v>
                </c:pt>
                <c:pt idx="7">
                  <c:v>0.40010739050869643</c:v>
                </c:pt>
                <c:pt idx="8">
                  <c:v>0.39765871673594716</c:v>
                </c:pt>
                <c:pt idx="9">
                  <c:v>0.39400374529713977</c:v>
                </c:pt>
                <c:pt idx="10">
                  <c:v>0.38916184480885163</c:v>
                </c:pt>
                <c:pt idx="11">
                  <c:v>0.38315197144529173</c:v>
                </c:pt>
                <c:pt idx="12">
                  <c:v>0.37599267985853946</c:v>
                </c:pt>
                <c:pt idx="13">
                  <c:v>0.36770213375364685</c:v>
                </c:pt>
                <c:pt idx="14">
                  <c:v>0.35829811613126805</c:v>
                </c:pt>
                <c:pt idx="15">
                  <c:v>0.34779803920994073</c:v>
                </c:pt>
                <c:pt idx="16">
                  <c:v>0.33621895403965557</c:v>
                </c:pt>
                <c:pt idx="17">
                  <c:v>0.32357755981785574</c:v>
                </c:pt>
                <c:pt idx="18">
                  <c:v>0.30989021291856156</c:v>
                </c:pt>
                <c:pt idx="19">
                  <c:v>0.29517293564487074</c:v>
                </c:pt>
                <c:pt idx="20">
                  <c:v>0.27944142471467126</c:v>
                </c:pt>
                <c:pt idx="21">
                  <c:v>0.26271105948901302</c:v>
                </c:pt>
                <c:pt idx="22">
                  <c:v>0.24499690995218271</c:v>
                </c:pt>
                <c:pt idx="23">
                  <c:v>0.22631374445220018</c:v>
                </c:pt>
                <c:pt idx="24">
                  <c:v>0.20667603721006181</c:v>
                </c:pt>
                <c:pt idx="25">
                  <c:v>0.18609797560577757</c:v>
                </c:pt>
              </c:numCache>
            </c:numRef>
          </c:xVal>
          <c:yVal>
            <c:numRef>
              <c:f>'CRJ-1000 Loading Diagram'!$J$31:$J$56</c:f>
              <c:numCache>
                <c:formatCode>General</c:formatCode>
                <c:ptCount val="26"/>
                <c:pt idx="0">
                  <c:v>30798.999999999996</c:v>
                </c:pt>
                <c:pt idx="1">
                  <c:v>30973.159999999996</c:v>
                </c:pt>
                <c:pt idx="2">
                  <c:v>31147.319999999996</c:v>
                </c:pt>
                <c:pt idx="3">
                  <c:v>31321.479999999996</c:v>
                </c:pt>
                <c:pt idx="4">
                  <c:v>31495.639999999996</c:v>
                </c:pt>
                <c:pt idx="5">
                  <c:v>31669.799999999996</c:v>
                </c:pt>
                <c:pt idx="6">
                  <c:v>31843.959999999995</c:v>
                </c:pt>
                <c:pt idx="7">
                  <c:v>32018.119999999995</c:v>
                </c:pt>
                <c:pt idx="8">
                  <c:v>32192.279999999995</c:v>
                </c:pt>
                <c:pt idx="9">
                  <c:v>32366.439999999995</c:v>
                </c:pt>
                <c:pt idx="10">
                  <c:v>32540.599999999995</c:v>
                </c:pt>
                <c:pt idx="11">
                  <c:v>32714.759999999995</c:v>
                </c:pt>
                <c:pt idx="12">
                  <c:v>32888.92</c:v>
                </c:pt>
                <c:pt idx="13">
                  <c:v>33063.08</c:v>
                </c:pt>
                <c:pt idx="14">
                  <c:v>33237.240000000005</c:v>
                </c:pt>
                <c:pt idx="15">
                  <c:v>33411.400000000009</c:v>
                </c:pt>
                <c:pt idx="16">
                  <c:v>33585.560000000012</c:v>
                </c:pt>
                <c:pt idx="17">
                  <c:v>33759.720000000016</c:v>
                </c:pt>
                <c:pt idx="18">
                  <c:v>33933.880000000019</c:v>
                </c:pt>
                <c:pt idx="19">
                  <c:v>34108.040000000023</c:v>
                </c:pt>
                <c:pt idx="20">
                  <c:v>34282.200000000026</c:v>
                </c:pt>
                <c:pt idx="21">
                  <c:v>34456.36000000003</c:v>
                </c:pt>
                <c:pt idx="22">
                  <c:v>34630.520000000033</c:v>
                </c:pt>
                <c:pt idx="23">
                  <c:v>34804.680000000037</c:v>
                </c:pt>
                <c:pt idx="24">
                  <c:v>34978.84000000004</c:v>
                </c:pt>
                <c:pt idx="25">
                  <c:v>35153.000000000044</c:v>
                </c:pt>
              </c:numCache>
            </c:numRef>
          </c:yVal>
          <c:smooth val="0"/>
          <c:extLst>
            <c:ext xmlns:c16="http://schemas.microsoft.com/office/drawing/2014/chart" uri="{C3380CC4-5D6E-409C-BE32-E72D297353CC}">
              <c16:uniqueId val="{00000006-02F7-4B6D-A23E-7E5A938AE05A}"/>
            </c:ext>
          </c:extLst>
        </c:ser>
        <c:dLbls>
          <c:showLegendKey val="0"/>
          <c:showVal val="0"/>
          <c:showCatName val="0"/>
          <c:showSerName val="0"/>
          <c:showPercent val="0"/>
          <c:showBubbleSize val="0"/>
        </c:dLbls>
        <c:axId val="1118949088"/>
        <c:axId val="1118950048"/>
      </c:scatterChart>
      <c:valAx>
        <c:axId val="1118949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xcg [mac]</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50048"/>
        <c:crosses val="autoZero"/>
        <c:crossBetween val="midCat"/>
      </c:valAx>
      <c:valAx>
        <c:axId val="1118950048"/>
        <c:scaling>
          <c:orientation val="minMax"/>
          <c:max val="42000"/>
          <c:min val="2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mass [kg]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49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pl-PL" sz="1600">
                <a:solidFill>
                  <a:schemeClr val="tx1"/>
                </a:solidFill>
                <a:latin typeface="Times New Roman" panose="02020603050405020304" pitchFamily="18" charset="0"/>
                <a:cs typeface="Times New Roman" panose="02020603050405020304" pitchFamily="18" charset="0"/>
              </a:rPr>
              <a:t>CRJ-EXX Loading Diagram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scatterChart>
        <c:scatterStyle val="lineMarker"/>
        <c:varyColors val="0"/>
        <c:ser>
          <c:idx val="0"/>
          <c:order val="0"/>
          <c:tx>
            <c:v>cargo f-b</c:v>
          </c:tx>
          <c:spPr>
            <a:ln w="19050" cap="rnd">
              <a:solidFill>
                <a:srgbClr val="C00000"/>
              </a:solidFill>
              <a:round/>
            </a:ln>
            <a:effectLst/>
          </c:spPr>
          <c:marker>
            <c:symbol val="star"/>
            <c:size val="5"/>
            <c:spPr>
              <a:noFill/>
              <a:ln w="9525">
                <a:solidFill>
                  <a:srgbClr val="C00000"/>
                </a:solidFill>
              </a:ln>
              <a:effectLst/>
            </c:spPr>
          </c:marker>
          <c:xVal>
            <c:numRef>
              <c:f>'CRJ-EXX Loading Diagram'!$Y$5:$Y$7</c:f>
              <c:numCache>
                <c:formatCode>General</c:formatCode>
                <c:ptCount val="3"/>
                <c:pt idx="0">
                  <c:v>0.54013760558342827</c:v>
                </c:pt>
                <c:pt idx="1">
                  <c:v>0.45827122074384363</c:v>
                </c:pt>
                <c:pt idx="2">
                  <c:v>0.63570484798643134</c:v>
                </c:pt>
              </c:numCache>
            </c:numRef>
          </c:xVal>
          <c:yVal>
            <c:numRef>
              <c:f>'CRJ-EXX Loading Diagram'!$U$5:$U$7</c:f>
              <c:numCache>
                <c:formatCode>General</c:formatCode>
                <c:ptCount val="3"/>
                <c:pt idx="0">
                  <c:v>26990.462934840085</c:v>
                </c:pt>
                <c:pt idx="1">
                  <c:v>27759.557747004663</c:v>
                </c:pt>
                <c:pt idx="2">
                  <c:v>30247.462934840085</c:v>
                </c:pt>
              </c:numCache>
            </c:numRef>
          </c:yVal>
          <c:smooth val="0"/>
          <c:extLst>
            <c:ext xmlns:c16="http://schemas.microsoft.com/office/drawing/2014/chart" uri="{C3380CC4-5D6E-409C-BE32-E72D297353CC}">
              <c16:uniqueId val="{00000000-6423-4367-9D66-FEBB59B9C86E}"/>
            </c:ext>
          </c:extLst>
        </c:ser>
        <c:ser>
          <c:idx val="1"/>
          <c:order val="1"/>
          <c:tx>
            <c:v>cargo b-f</c:v>
          </c:tx>
          <c:spPr>
            <a:ln w="19050" cap="rnd">
              <a:solidFill>
                <a:srgbClr val="7030A0"/>
              </a:solidFill>
              <a:round/>
            </a:ln>
            <a:effectLst/>
          </c:spPr>
          <c:marker>
            <c:symbol val="star"/>
            <c:size val="5"/>
            <c:spPr>
              <a:noFill/>
              <a:ln w="9525">
                <a:solidFill>
                  <a:srgbClr val="7030A0"/>
                </a:solidFill>
              </a:ln>
              <a:effectLst/>
            </c:spPr>
          </c:marker>
          <c:xVal>
            <c:numRef>
              <c:f>'CRJ-EXX Loading Diagram'!$N$5:$N$7</c:f>
              <c:numCache>
                <c:formatCode>General</c:formatCode>
                <c:ptCount val="3"/>
                <c:pt idx="0">
                  <c:v>0.54013760558342827</c:v>
                </c:pt>
                <c:pt idx="1">
                  <c:v>0.72297513901019084</c:v>
                </c:pt>
                <c:pt idx="2">
                  <c:v>0.6442043285987864</c:v>
                </c:pt>
              </c:numCache>
            </c:numRef>
          </c:xVal>
          <c:yVal>
            <c:numRef>
              <c:f>'CRJ-EXX Loading Diagram'!$J$5:$J$7</c:f>
              <c:numCache>
                <c:formatCode>General</c:formatCode>
                <c:ptCount val="3"/>
                <c:pt idx="0">
                  <c:v>26990.462934840085</c:v>
                </c:pt>
                <c:pt idx="1">
                  <c:v>29478.368122675507</c:v>
                </c:pt>
                <c:pt idx="2">
                  <c:v>30247.462934840085</c:v>
                </c:pt>
              </c:numCache>
            </c:numRef>
          </c:yVal>
          <c:smooth val="0"/>
          <c:extLst>
            <c:ext xmlns:c16="http://schemas.microsoft.com/office/drawing/2014/chart" uri="{C3380CC4-5D6E-409C-BE32-E72D297353CC}">
              <c16:uniqueId val="{00000001-6423-4367-9D66-FEBB59B9C86E}"/>
            </c:ext>
          </c:extLst>
        </c:ser>
        <c:ser>
          <c:idx val="2"/>
          <c:order val="2"/>
          <c:tx>
            <c:v>passengers f-b window</c:v>
          </c:tx>
          <c:spPr>
            <a:ln w="19050" cap="rnd">
              <a:solidFill>
                <a:schemeClr val="accent1">
                  <a:lumMod val="75000"/>
                </a:schemeClr>
              </a:solidFill>
              <a:round/>
            </a:ln>
            <a:effectLst/>
          </c:spPr>
          <c:marker>
            <c:symbol val="triangle"/>
            <c:size val="5"/>
            <c:spPr>
              <a:solidFill>
                <a:schemeClr val="accent1">
                  <a:lumMod val="75000"/>
                </a:schemeClr>
              </a:solidFill>
              <a:ln w="9525">
                <a:solidFill>
                  <a:schemeClr val="accent1">
                    <a:lumMod val="75000"/>
                  </a:schemeClr>
                </a:solidFill>
              </a:ln>
              <a:effectLst/>
            </c:spPr>
          </c:marker>
          <c:xVal>
            <c:numRef>
              <c:f>'CRJ-EXX Loading Diagram'!$Y$7:$Y$29</c:f>
              <c:numCache>
                <c:formatCode>General</c:formatCode>
                <c:ptCount val="23"/>
                <c:pt idx="0">
                  <c:v>0.63570484798643134</c:v>
                </c:pt>
                <c:pt idx="1">
                  <c:v>0.60947021024308534</c:v>
                </c:pt>
                <c:pt idx="2">
                  <c:v>0.58483822905545757</c:v>
                </c:pt>
                <c:pt idx="3">
                  <c:v>0.56178169098350483</c:v>
                </c:pt>
                <c:pt idx="4">
                  <c:v>0.54027399523932085</c:v>
                </c:pt>
                <c:pt idx="5">
                  <c:v>0.52028913654294895</c:v>
                </c:pt>
                <c:pt idx="6">
                  <c:v>0.50180168855068863</c:v>
                </c:pt>
                <c:pt idx="7">
                  <c:v>0.48478678783373153</c:v>
                </c:pt>
                <c:pt idx="8">
                  <c:v>0.46922011838590671</c:v>
                </c:pt>
                <c:pt idx="9">
                  <c:v>0.45507789664028087</c:v>
                </c:pt>
                <c:pt idx="10">
                  <c:v>0.44233685697519232</c:v>
                </c:pt>
                <c:pt idx="11">
                  <c:v>0.43097423769120624</c:v>
                </c:pt>
                <c:pt idx="12">
                  <c:v>0.42096776744118658</c:v>
                </c:pt>
                <c:pt idx="13">
                  <c:v>0.41229565209654667</c:v>
                </c:pt>
                <c:pt idx="14">
                  <c:v>0.40493656203337536</c:v>
                </c:pt>
                <c:pt idx="15">
                  <c:v>0.3988696198228599</c:v>
                </c:pt>
                <c:pt idx="16">
                  <c:v>0.39407438831112335</c:v>
                </c:pt>
                <c:pt idx="17">
                  <c:v>0.39053085907411805</c:v>
                </c:pt>
                <c:pt idx="18">
                  <c:v>0.38821944123394464</c:v>
                </c:pt>
                <c:pt idx="19">
                  <c:v>0.38712095062341101</c:v>
                </c:pt>
                <c:pt idx="20">
                  <c:v>0.38721659928628643</c:v>
                </c:pt>
                <c:pt idx="21">
                  <c:v>0.38848798530114464</c:v>
                </c:pt>
                <c:pt idx="22">
                  <c:v>0.39091708291725108</c:v>
                </c:pt>
              </c:numCache>
            </c:numRef>
          </c:xVal>
          <c:yVal>
            <c:numRef>
              <c:f>'CRJ-EXX Loading Diagram'!$U$7:$U$29</c:f>
              <c:numCache>
                <c:formatCode>General</c:formatCode>
                <c:ptCount val="23"/>
                <c:pt idx="0">
                  <c:v>30247.462934840085</c:v>
                </c:pt>
                <c:pt idx="1">
                  <c:v>30421.622934840085</c:v>
                </c:pt>
                <c:pt idx="2">
                  <c:v>30595.782934840085</c:v>
                </c:pt>
                <c:pt idx="3">
                  <c:v>30769.942934840084</c:v>
                </c:pt>
                <c:pt idx="4">
                  <c:v>30944.102934840084</c:v>
                </c:pt>
                <c:pt idx="5">
                  <c:v>31118.262934840084</c:v>
                </c:pt>
                <c:pt idx="6">
                  <c:v>31292.422934840084</c:v>
                </c:pt>
                <c:pt idx="7">
                  <c:v>31466.582934840084</c:v>
                </c:pt>
                <c:pt idx="8">
                  <c:v>31640.742934840084</c:v>
                </c:pt>
                <c:pt idx="9">
                  <c:v>31814.902934840084</c:v>
                </c:pt>
                <c:pt idx="10">
                  <c:v>31989.062934840083</c:v>
                </c:pt>
                <c:pt idx="11">
                  <c:v>32163.222934840083</c:v>
                </c:pt>
                <c:pt idx="12">
                  <c:v>32337.382934840083</c:v>
                </c:pt>
                <c:pt idx="13">
                  <c:v>32511.542934840083</c:v>
                </c:pt>
                <c:pt idx="14">
                  <c:v>32685.702934840083</c:v>
                </c:pt>
                <c:pt idx="15">
                  <c:v>32859.862934840086</c:v>
                </c:pt>
                <c:pt idx="16">
                  <c:v>33034.02293484009</c:v>
                </c:pt>
                <c:pt idx="17">
                  <c:v>33208.182934840093</c:v>
                </c:pt>
                <c:pt idx="18">
                  <c:v>33382.342934840097</c:v>
                </c:pt>
                <c:pt idx="19">
                  <c:v>33556.5029348401</c:v>
                </c:pt>
                <c:pt idx="20">
                  <c:v>33730.662934840104</c:v>
                </c:pt>
                <c:pt idx="21">
                  <c:v>33904.822934840107</c:v>
                </c:pt>
                <c:pt idx="22">
                  <c:v>34078.982934840111</c:v>
                </c:pt>
              </c:numCache>
            </c:numRef>
          </c:yVal>
          <c:smooth val="0"/>
          <c:extLst>
            <c:ext xmlns:c16="http://schemas.microsoft.com/office/drawing/2014/chart" uri="{C3380CC4-5D6E-409C-BE32-E72D297353CC}">
              <c16:uniqueId val="{00000002-6423-4367-9D66-FEBB59B9C86E}"/>
            </c:ext>
          </c:extLst>
        </c:ser>
        <c:ser>
          <c:idx val="3"/>
          <c:order val="3"/>
          <c:tx>
            <c:v>passengers f-b aisle</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'CRJ-EXX Loading Diagram'!$Y$29:$Y$51</c:f>
              <c:numCache>
                <c:formatCode>General</c:formatCode>
                <c:ptCount val="23"/>
                <c:pt idx="0">
                  <c:v>0.39091708291725108</c:v>
                </c:pt>
                <c:pt idx="1">
                  <c:v>0.36886164638306534</c:v>
                </c:pt>
                <c:pt idx="2">
                  <c:v>0.34818821856512228</c:v>
                </c:pt>
                <c:pt idx="3">
                  <c:v>0.32887593121529574</c:v>
                </c:pt>
                <c:pt idx="4">
                  <c:v>0.31090433412704088</c:v>
                </c:pt>
                <c:pt idx="5">
                  <c:v>0.29425338471957213</c:v>
                </c:pt>
                <c:pt idx="6">
                  <c:v>0.2789034379319259</c:v>
                </c:pt>
                <c:pt idx="7">
                  <c:v>0.26483523641619172</c:v>
                </c:pt>
                <c:pt idx="8">
                  <c:v>0.25202990101963746</c:v>
                </c:pt>
                <c:pt idx="9">
                  <c:v>0.24046892154584978</c:v>
                </c:pt>
                <c:pt idx="10">
                  <c:v>0.23013414778539037</c:v>
                </c:pt>
                <c:pt idx="11">
                  <c:v>0.22100778080683522</c:v>
                </c:pt>
                <c:pt idx="12">
                  <c:v>0.21307236449943209</c:v>
                </c:pt>
                <c:pt idx="13">
                  <c:v>0.20631077735892675</c:v>
                </c:pt>
                <c:pt idx="14">
                  <c:v>0.20070622450844047</c:v>
                </c:pt>
                <c:pt idx="15">
                  <c:v>0.19624222994659418</c:v>
                </c:pt>
                <c:pt idx="16">
                  <c:v>0.19290262901535629</c:v>
                </c:pt>
                <c:pt idx="17">
                  <c:v>0.19067156108039421</c:v>
                </c:pt>
                <c:pt idx="18">
                  <c:v>0.18953346241694782</c:v>
                </c:pt>
                <c:pt idx="19">
                  <c:v>0.18947305929455283</c:v>
                </c:pt>
                <c:pt idx="20">
                  <c:v>0.19047536125412545</c:v>
                </c:pt>
                <c:pt idx="21">
                  <c:v>0.19252565457122989</c:v>
                </c:pt>
                <c:pt idx="22">
                  <c:v>0.19560949589950902</c:v>
                </c:pt>
              </c:numCache>
            </c:numRef>
          </c:xVal>
          <c:yVal>
            <c:numRef>
              <c:f>'CRJ-EXX Loading Diagram'!$U$29:$U$51</c:f>
              <c:numCache>
                <c:formatCode>General</c:formatCode>
                <c:ptCount val="23"/>
                <c:pt idx="0">
                  <c:v>34078.982934840111</c:v>
                </c:pt>
                <c:pt idx="1">
                  <c:v>34253.142934840114</c:v>
                </c:pt>
                <c:pt idx="2">
                  <c:v>34427.302934840118</c:v>
                </c:pt>
                <c:pt idx="3">
                  <c:v>34601.462934840121</c:v>
                </c:pt>
                <c:pt idx="4">
                  <c:v>34775.622934840125</c:v>
                </c:pt>
                <c:pt idx="5">
                  <c:v>34949.782934840128</c:v>
                </c:pt>
                <c:pt idx="6">
                  <c:v>35123.942934840132</c:v>
                </c:pt>
                <c:pt idx="7">
                  <c:v>35298.102934840135</c:v>
                </c:pt>
                <c:pt idx="8">
                  <c:v>35472.262934840139</c:v>
                </c:pt>
                <c:pt idx="9">
                  <c:v>35646.422934840142</c:v>
                </c:pt>
                <c:pt idx="10">
                  <c:v>35820.582934840146</c:v>
                </c:pt>
                <c:pt idx="11">
                  <c:v>35994.742934840149</c:v>
                </c:pt>
                <c:pt idx="12">
                  <c:v>36168.902934840153</c:v>
                </c:pt>
                <c:pt idx="13">
                  <c:v>36343.062934840156</c:v>
                </c:pt>
                <c:pt idx="14">
                  <c:v>36517.22293484016</c:v>
                </c:pt>
                <c:pt idx="15">
                  <c:v>36691.382934840163</c:v>
                </c:pt>
                <c:pt idx="16">
                  <c:v>36865.542934840167</c:v>
                </c:pt>
                <c:pt idx="17">
                  <c:v>37039.70293484017</c:v>
                </c:pt>
                <c:pt idx="18">
                  <c:v>37213.862934840174</c:v>
                </c:pt>
                <c:pt idx="19">
                  <c:v>37388.022934840177</c:v>
                </c:pt>
                <c:pt idx="20">
                  <c:v>37562.182934840181</c:v>
                </c:pt>
                <c:pt idx="21">
                  <c:v>37736.342934840184</c:v>
                </c:pt>
                <c:pt idx="22">
                  <c:v>37910.502934840188</c:v>
                </c:pt>
              </c:numCache>
            </c:numRef>
          </c:yVal>
          <c:smooth val="0"/>
          <c:extLst>
            <c:ext xmlns:c16="http://schemas.microsoft.com/office/drawing/2014/chart" uri="{C3380CC4-5D6E-409C-BE32-E72D297353CC}">
              <c16:uniqueId val="{00000003-6423-4367-9D66-FEBB59B9C86E}"/>
            </c:ext>
          </c:extLst>
        </c:ser>
        <c:ser>
          <c:idx val="4"/>
          <c:order val="4"/>
          <c:tx>
            <c:v>fuel</c:v>
          </c:tx>
          <c:spPr>
            <a:ln w="19050" cap="rnd">
              <a:solidFill>
                <a:schemeClr val="accent5"/>
              </a:solidFill>
              <a:round/>
            </a:ln>
            <a:effectLst/>
          </c:spPr>
          <c:marker>
            <c:symbol val="circle"/>
            <c:size val="5"/>
            <c:spPr>
              <a:solidFill>
                <a:schemeClr val="accent5"/>
              </a:solidFill>
              <a:ln w="9525">
                <a:solidFill>
                  <a:schemeClr val="accent5"/>
                </a:solidFill>
              </a:ln>
              <a:effectLst/>
            </c:spPr>
          </c:marker>
          <c:dPt>
            <c:idx val="1"/>
            <c:marker>
              <c:symbol val="circle"/>
              <c:size val="5"/>
              <c:spPr>
                <a:solidFill>
                  <a:srgbClr val="00B0F0"/>
                </a:solidFill>
                <a:ln w="9525">
                  <a:solidFill>
                    <a:srgbClr val="00B0F0"/>
                  </a:solidFill>
                </a:ln>
                <a:effectLst/>
              </c:spPr>
            </c:marker>
            <c:bubble3D val="0"/>
            <c:spPr>
              <a:ln w="19050" cap="rnd">
                <a:solidFill>
                  <a:srgbClr val="00B0F0"/>
                </a:solidFill>
                <a:round/>
              </a:ln>
              <a:effectLst/>
            </c:spPr>
            <c:extLst>
              <c:ext xmlns:c16="http://schemas.microsoft.com/office/drawing/2014/chart" uri="{C3380CC4-5D6E-409C-BE32-E72D297353CC}">
                <c16:uniqueId val="{00000018-DCBE-4D84-8493-C142F89FFA40}"/>
              </c:ext>
            </c:extLst>
          </c:dPt>
          <c:xVal>
            <c:numRef>
              <c:f>'CRJ-EXX Loading Diagram'!$Y$51:$Y$52</c:f>
              <c:numCache>
                <c:formatCode>General</c:formatCode>
                <c:ptCount val="2"/>
                <c:pt idx="0">
                  <c:v>0.19560949589950902</c:v>
                </c:pt>
                <c:pt idx="1">
                  <c:v>0.20048099506894587</c:v>
                </c:pt>
              </c:numCache>
            </c:numRef>
          </c:xVal>
          <c:yVal>
            <c:numRef>
              <c:f>'CRJ-EXX Loading Diagram'!$U$51:$U$52</c:f>
              <c:numCache>
                <c:formatCode>General</c:formatCode>
                <c:ptCount val="2"/>
                <c:pt idx="0">
                  <c:v>37910.502934840188</c:v>
                </c:pt>
                <c:pt idx="1">
                  <c:v>41640.000000000102</c:v>
                </c:pt>
              </c:numCache>
            </c:numRef>
          </c:yVal>
          <c:smooth val="0"/>
          <c:extLst>
            <c:ext xmlns:c16="http://schemas.microsoft.com/office/drawing/2014/chart" uri="{C3380CC4-5D6E-409C-BE32-E72D297353CC}">
              <c16:uniqueId val="{00000004-6423-4367-9D66-FEBB59B9C86E}"/>
            </c:ext>
          </c:extLst>
        </c:ser>
        <c:ser>
          <c:idx val="5"/>
          <c:order val="5"/>
          <c:tx>
            <c:v>passengers b-f window</c:v>
          </c:tx>
          <c:spPr>
            <a:ln w="19050" cap="rnd">
              <a:solidFill>
                <a:srgbClr val="00CC99"/>
              </a:solidFill>
              <a:round/>
            </a:ln>
            <a:effectLst/>
          </c:spPr>
          <c:marker>
            <c:symbol val="triangle"/>
            <c:size val="5"/>
            <c:spPr>
              <a:solidFill>
                <a:srgbClr val="00CC99"/>
              </a:solidFill>
              <a:ln w="9525">
                <a:solidFill>
                  <a:srgbClr val="00CC99"/>
                </a:solidFill>
              </a:ln>
              <a:effectLst/>
            </c:spPr>
          </c:marker>
          <c:xVal>
            <c:numRef>
              <c:f>'CRJ-EXX Loading Diagram'!$N$7:$N$29</c:f>
              <c:numCache>
                <c:formatCode>General</c:formatCode>
                <c:ptCount val="23"/>
                <c:pt idx="0">
                  <c:v>0.6442043285987864</c:v>
                </c:pt>
                <c:pt idx="1">
                  <c:v>0.64546151392185647</c:v>
                </c:pt>
                <c:pt idx="2">
                  <c:v>0.64540040038142799</c:v>
                </c:pt>
                <c:pt idx="3">
                  <c:v>0.64404337296507463</c:v>
                </c:pt>
                <c:pt idx="4">
                  <c:v>0.64141231271046062</c:v>
                </c:pt>
                <c:pt idx="5">
                  <c:v>0.63752861080766754</c:v>
                </c:pt>
                <c:pt idx="6">
                  <c:v>0.63241318223057352</c:v>
                </c:pt>
                <c:pt idx="7">
                  <c:v>0.62608647891557612</c:v>
                </c:pt>
                <c:pt idx="8">
                  <c:v>0.61856850250506146</c:v>
                </c:pt>
                <c:pt idx="9">
                  <c:v>0.60987881667232591</c:v>
                </c:pt>
                <c:pt idx="10">
                  <c:v>0.6000365590438812</c:v>
                </c:pt>
                <c:pt idx="11">
                  <c:v>0.58906045273441865</c:v>
                </c:pt>
                <c:pt idx="12">
                  <c:v>0.57696881750902418</c:v>
                </c:pt>
                <c:pt idx="13">
                  <c:v>0.56377958058662725</c:v>
                </c:pt>
                <c:pt idx="14">
                  <c:v>0.5495102870980717</c:v>
                </c:pt>
                <c:pt idx="15">
                  <c:v>0.534178110211601</c:v>
                </c:pt>
                <c:pt idx="16">
                  <c:v>0.51779986093805952</c:v>
                </c:pt>
                <c:pt idx="17">
                  <c:v>0.50039199762754227</c:v>
                </c:pt>
                <c:pt idx="18">
                  <c:v>0.48197063516878319</c:v>
                </c:pt>
                <c:pt idx="19">
                  <c:v>0.46255155390206415</c:v>
                </c:pt>
                <c:pt idx="20">
                  <c:v>0.44215020825600826</c:v>
                </c:pt>
                <c:pt idx="21">
                  <c:v>0.42078173511818856</c:v>
                </c:pt>
                <c:pt idx="22">
                  <c:v>0.3984609619490625</c:v>
                </c:pt>
              </c:numCache>
            </c:numRef>
          </c:xVal>
          <c:yVal>
            <c:numRef>
              <c:f>'CRJ-EXX Loading Diagram'!$J$7:$J$29</c:f>
              <c:numCache>
                <c:formatCode>General</c:formatCode>
                <c:ptCount val="23"/>
                <c:pt idx="0">
                  <c:v>30247.462934840085</c:v>
                </c:pt>
                <c:pt idx="1">
                  <c:v>30421.622934840085</c:v>
                </c:pt>
                <c:pt idx="2">
                  <c:v>30595.782934840085</c:v>
                </c:pt>
                <c:pt idx="3">
                  <c:v>30769.942934840084</c:v>
                </c:pt>
                <c:pt idx="4">
                  <c:v>30944.102934840084</c:v>
                </c:pt>
                <c:pt idx="5">
                  <c:v>31118.262934840084</c:v>
                </c:pt>
                <c:pt idx="6">
                  <c:v>31292.422934840084</c:v>
                </c:pt>
                <c:pt idx="7">
                  <c:v>31466.582934840084</c:v>
                </c:pt>
                <c:pt idx="8">
                  <c:v>31640.742934840084</c:v>
                </c:pt>
                <c:pt idx="9">
                  <c:v>31814.902934840084</c:v>
                </c:pt>
                <c:pt idx="10">
                  <c:v>31989.062934840083</c:v>
                </c:pt>
                <c:pt idx="11">
                  <c:v>32163.222934840083</c:v>
                </c:pt>
                <c:pt idx="12">
                  <c:v>32337.382934840083</c:v>
                </c:pt>
                <c:pt idx="13">
                  <c:v>32511.542934840083</c:v>
                </c:pt>
                <c:pt idx="14">
                  <c:v>32685.702934840083</c:v>
                </c:pt>
                <c:pt idx="15">
                  <c:v>32859.862934840086</c:v>
                </c:pt>
                <c:pt idx="16">
                  <c:v>33034.02293484009</c:v>
                </c:pt>
                <c:pt idx="17">
                  <c:v>33208.182934840093</c:v>
                </c:pt>
                <c:pt idx="18">
                  <c:v>33382.342934840097</c:v>
                </c:pt>
                <c:pt idx="19">
                  <c:v>33556.5029348401</c:v>
                </c:pt>
                <c:pt idx="20">
                  <c:v>33730.662934840104</c:v>
                </c:pt>
                <c:pt idx="21">
                  <c:v>33904.822934840107</c:v>
                </c:pt>
                <c:pt idx="22">
                  <c:v>34078.982934840111</c:v>
                </c:pt>
              </c:numCache>
            </c:numRef>
          </c:yVal>
          <c:smooth val="0"/>
          <c:extLst>
            <c:ext xmlns:c16="http://schemas.microsoft.com/office/drawing/2014/chart" uri="{C3380CC4-5D6E-409C-BE32-E72D297353CC}">
              <c16:uniqueId val="{00000005-6423-4367-9D66-FEBB59B9C86E}"/>
            </c:ext>
          </c:extLst>
        </c:ser>
        <c:ser>
          <c:idx val="6"/>
          <c:order val="6"/>
          <c:tx>
            <c:v>passengers b-f aisle</c:v>
          </c:tx>
          <c:spPr>
            <a:ln w="19050" cap="rnd">
              <a:solidFill>
                <a:srgbClr val="FF33CC"/>
              </a:solidFill>
              <a:round/>
            </a:ln>
            <a:effectLst/>
          </c:spPr>
          <c:marker>
            <c:symbol val="circle"/>
            <c:size val="5"/>
            <c:spPr>
              <a:solidFill>
                <a:srgbClr val="FF33CC"/>
              </a:solidFill>
              <a:ln w="9525">
                <a:noFill/>
              </a:ln>
              <a:effectLst/>
            </c:spPr>
          </c:marker>
          <c:xVal>
            <c:numRef>
              <c:f>'CRJ-EXX Loading Diagram'!$N$29:$N$51</c:f>
              <c:numCache>
                <c:formatCode>General</c:formatCode>
                <c:ptCount val="23"/>
                <c:pt idx="0">
                  <c:v>0.3984609619490625</c:v>
                </c:pt>
                <c:pt idx="1">
                  <c:v>0.4008270012566823</c:v>
                </c:pt>
                <c:pt idx="2">
                  <c:v>0.40201024033252586</c:v>
                </c:pt>
                <c:pt idx="3">
                  <c:v>0.40202853938864019</c:v>
                </c:pt>
                <c:pt idx="4">
                  <c:v>0.40089940085374054</c:v>
                </c:pt>
                <c:pt idx="5">
                  <c:v>0.39863997828765696</c:v>
                </c:pt>
                <c:pt idx="6">
                  <c:v>0.39526708503055497</c:v>
                </c:pt>
                <c:pt idx="7">
                  <c:v>0.39079720259612499</c:v>
                </c:pt>
                <c:pt idx="8">
                  <c:v>0.38524648881749735</c:v>
                </c:pt>
                <c:pt idx="9">
                  <c:v>0.37863078575438713</c:v>
                </c:pt>
                <c:pt idx="10">
                  <c:v>0.3709656273695548</c:v>
                </c:pt>
                <c:pt idx="11">
                  <c:v>0.36226624698241849</c:v>
                </c:pt>
                <c:pt idx="12">
                  <c:v>0.35254758450732115</c:v>
                </c:pt>
                <c:pt idx="13">
                  <c:v>0.34182429348368248</c:v>
                </c:pt>
                <c:pt idx="14">
                  <c:v>0.33011074790497263</c:v>
                </c:pt>
                <c:pt idx="15">
                  <c:v>0.3174210488532051</c:v>
                </c:pt>
                <c:pt idx="16">
                  <c:v>0.30376903094537022</c:v>
                </c:pt>
                <c:pt idx="17">
                  <c:v>0.28916826859799905</c:v>
                </c:pt>
                <c:pt idx="18">
                  <c:v>0.27363208211583157</c:v>
                </c:pt>
                <c:pt idx="19">
                  <c:v>0.25717354361029759</c:v>
                </c:pt>
                <c:pt idx="20">
                  <c:v>0.23980548275335645</c:v>
                </c:pt>
                <c:pt idx="21">
                  <c:v>0.22154049237200737</c:v>
                </c:pt>
                <c:pt idx="22">
                  <c:v>0.20239093388859208</c:v>
                </c:pt>
              </c:numCache>
            </c:numRef>
          </c:xVal>
          <c:yVal>
            <c:numRef>
              <c:f>'CRJ-EXX Loading Diagram'!$J$29:$J$51</c:f>
              <c:numCache>
                <c:formatCode>General</c:formatCode>
                <c:ptCount val="23"/>
                <c:pt idx="0">
                  <c:v>34078.982934840111</c:v>
                </c:pt>
                <c:pt idx="1">
                  <c:v>34253.142934840114</c:v>
                </c:pt>
                <c:pt idx="2">
                  <c:v>34427.302934840118</c:v>
                </c:pt>
                <c:pt idx="3">
                  <c:v>34601.462934840121</c:v>
                </c:pt>
                <c:pt idx="4">
                  <c:v>34775.622934840125</c:v>
                </c:pt>
                <c:pt idx="5">
                  <c:v>34949.782934840128</c:v>
                </c:pt>
                <c:pt idx="6">
                  <c:v>35123.942934840132</c:v>
                </c:pt>
                <c:pt idx="7">
                  <c:v>35298.102934840135</c:v>
                </c:pt>
                <c:pt idx="8">
                  <c:v>35472.262934840139</c:v>
                </c:pt>
                <c:pt idx="9">
                  <c:v>35646.422934840142</c:v>
                </c:pt>
                <c:pt idx="10">
                  <c:v>35820.582934840146</c:v>
                </c:pt>
                <c:pt idx="11">
                  <c:v>35994.742934840149</c:v>
                </c:pt>
                <c:pt idx="12">
                  <c:v>36168.902934840153</c:v>
                </c:pt>
                <c:pt idx="13">
                  <c:v>36343.062934840156</c:v>
                </c:pt>
                <c:pt idx="14">
                  <c:v>36517.22293484016</c:v>
                </c:pt>
                <c:pt idx="15">
                  <c:v>36691.382934840163</c:v>
                </c:pt>
                <c:pt idx="16">
                  <c:v>36865.542934840167</c:v>
                </c:pt>
                <c:pt idx="17">
                  <c:v>37039.70293484017</c:v>
                </c:pt>
                <c:pt idx="18">
                  <c:v>37213.862934840174</c:v>
                </c:pt>
                <c:pt idx="19">
                  <c:v>37388.022934840177</c:v>
                </c:pt>
                <c:pt idx="20">
                  <c:v>37562.182934840181</c:v>
                </c:pt>
                <c:pt idx="21">
                  <c:v>37736.342934840184</c:v>
                </c:pt>
                <c:pt idx="22">
                  <c:v>37910.502934840188</c:v>
                </c:pt>
              </c:numCache>
            </c:numRef>
          </c:yVal>
          <c:smooth val="0"/>
          <c:extLst>
            <c:ext xmlns:c16="http://schemas.microsoft.com/office/drawing/2014/chart" uri="{C3380CC4-5D6E-409C-BE32-E72D297353CC}">
              <c16:uniqueId val="{00000006-6423-4367-9D66-FEBB59B9C86E}"/>
            </c:ext>
          </c:extLst>
        </c:ser>
        <c:ser>
          <c:idx val="7"/>
          <c:order val="7"/>
          <c:tx>
            <c:v>battery</c:v>
          </c:tx>
          <c:spPr>
            <a:ln w="19050" cap="rnd">
              <a:solidFill>
                <a:schemeClr val="bg2">
                  <a:lumMod val="50000"/>
                </a:schemeClr>
              </a:solidFill>
              <a:round/>
            </a:ln>
            <a:effectLst/>
          </c:spPr>
          <c:marker>
            <c:symbol val="circle"/>
            <c:size val="5"/>
            <c:spPr>
              <a:solidFill>
                <a:srgbClr val="FF0000"/>
              </a:solidFill>
              <a:ln w="9525">
                <a:solidFill>
                  <a:schemeClr val="accent2">
                    <a:lumMod val="60000"/>
                  </a:schemeClr>
                </a:solidFill>
              </a:ln>
              <a:effectLst/>
            </c:spPr>
          </c:marker>
          <c:dPt>
            <c:idx val="0"/>
            <c:marker>
              <c:symbol val="circle"/>
              <c:size val="5"/>
              <c:spPr>
                <a:solidFill>
                  <a:srgbClr val="FF0000"/>
                </a:solidFill>
                <a:ln w="9525">
                  <a:solidFill>
                    <a:srgbClr val="FF0000"/>
                  </a:solidFill>
                </a:ln>
                <a:effectLst/>
              </c:spPr>
            </c:marker>
            <c:bubble3D val="0"/>
            <c:extLst>
              <c:ext xmlns:c16="http://schemas.microsoft.com/office/drawing/2014/chart" uri="{C3380CC4-5D6E-409C-BE32-E72D297353CC}">
                <c16:uniqueId val="{00000017-DCBE-4D84-8493-C142F89FFA40}"/>
              </c:ext>
            </c:extLst>
          </c:dPt>
          <c:xVal>
            <c:numRef>
              <c:f>'CRJ-EXX Loading Diagram'!$Y$4:$Y$5</c:f>
              <c:numCache>
                <c:formatCode>General</c:formatCode>
                <c:ptCount val="2"/>
                <c:pt idx="0">
                  <c:v>0.54955132282836205</c:v>
                </c:pt>
                <c:pt idx="1">
                  <c:v>0.54013760558342827</c:v>
                </c:pt>
              </c:numCache>
            </c:numRef>
          </c:xVal>
          <c:yVal>
            <c:numRef>
              <c:f>'CRJ-EXX Loading Diagram'!$U$4:$U$5</c:f>
              <c:numCache>
                <c:formatCode>General</c:formatCode>
                <c:ptCount val="2"/>
                <c:pt idx="0">
                  <c:v>22490.462934840085</c:v>
                </c:pt>
                <c:pt idx="1">
                  <c:v>26990.462934840085</c:v>
                </c:pt>
              </c:numCache>
            </c:numRef>
          </c:yVal>
          <c:smooth val="0"/>
          <c:extLst>
            <c:ext xmlns:c16="http://schemas.microsoft.com/office/drawing/2014/chart" uri="{C3380CC4-5D6E-409C-BE32-E72D297353CC}">
              <c16:uniqueId val="{00000001-4A5B-4CF9-994F-1EA2A875A0FF}"/>
            </c:ext>
          </c:extLst>
        </c:ser>
        <c:dLbls>
          <c:showLegendKey val="0"/>
          <c:showVal val="0"/>
          <c:showCatName val="0"/>
          <c:showSerName val="0"/>
          <c:showPercent val="0"/>
          <c:showBubbleSize val="0"/>
        </c:dLbls>
        <c:axId val="1118949088"/>
        <c:axId val="1118950048"/>
      </c:scatterChart>
      <c:valAx>
        <c:axId val="1118949088"/>
        <c:scaling>
          <c:orientation val="minMax"/>
          <c:max val="0.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xcg [mac]</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50048"/>
        <c:crosses val="autoZero"/>
        <c:crossBetween val="midCat"/>
      </c:valAx>
      <c:valAx>
        <c:axId val="1118950048"/>
        <c:scaling>
          <c:orientation val="minMax"/>
          <c:max val="42000"/>
          <c:min val="2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sz="1200">
                    <a:solidFill>
                      <a:schemeClr val="tx1"/>
                    </a:solidFill>
                    <a:latin typeface="Times New Roman" panose="02020603050405020304" pitchFamily="18" charset="0"/>
                    <a:cs typeface="Times New Roman" panose="02020603050405020304" pitchFamily="18" charset="0"/>
                  </a:rPr>
                  <a:t>mass [kg]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118949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pl-PL">
                <a:latin typeface="Times New Roman" panose="02020603050405020304" pitchFamily="18" charset="0"/>
                <a:cs typeface="Times New Roman" panose="02020603050405020304" pitchFamily="18" charset="0"/>
              </a:rPr>
              <a:t>CRJ-1000 CG</a:t>
            </a:r>
            <a:r>
              <a:rPr lang="pl-PL" baseline="0">
                <a:latin typeface="Times New Roman" panose="02020603050405020304" pitchFamily="18" charset="0"/>
                <a:cs typeface="Times New Roman" panose="02020603050405020304" pitchFamily="18" charset="0"/>
              </a:rPr>
              <a:t> Range</a:t>
            </a:r>
          </a:p>
          <a:p>
            <a:pPr>
              <a:defRPr>
                <a:latin typeface="Times New Roman" panose="02020603050405020304" pitchFamily="18" charset="0"/>
                <a:cs typeface="Times New Roman" panose="02020603050405020304" pitchFamily="18" charset="0"/>
              </a:defRPr>
            </a:pPr>
            <a:endParaRPr lang="pl-P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manualLayout>
          <c:layoutTarget val="inner"/>
          <c:xMode val="edge"/>
          <c:yMode val="edge"/>
          <c:x val="9.3831354836990538E-2"/>
          <c:y val="0.16666666666666666"/>
          <c:w val="0.70149486390343352"/>
          <c:h val="0.6755861767279091"/>
        </c:manualLayout>
      </c:layout>
      <c:scatterChart>
        <c:scatterStyle val="lineMarker"/>
        <c:varyColors val="0"/>
        <c:ser>
          <c:idx val="0"/>
          <c:order val="0"/>
          <c:tx>
            <c:v>min</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'CG Range'!$C$15:$C$17</c:f>
              <c:numCache>
                <c:formatCode>General</c:formatCode>
                <c:ptCount val="3"/>
                <c:pt idx="0">
                  <c:v>1.6528320000000001</c:v>
                </c:pt>
                <c:pt idx="1">
                  <c:v>0.59192100000000003</c:v>
                </c:pt>
                <c:pt idx="2">
                  <c:v>-0.46899000000000002</c:v>
                </c:pt>
              </c:numCache>
            </c:numRef>
          </c:xVal>
          <c:yVal>
            <c:numRef>
              <c:f>'CG Range'!$B$15:$B$17</c:f>
              <c:numCache>
                <c:formatCode>General</c:formatCode>
                <c:ptCount val="3"/>
                <c:pt idx="0">
                  <c:v>0.25</c:v>
                </c:pt>
                <c:pt idx="1">
                  <c:v>0.35</c:v>
                </c:pt>
                <c:pt idx="2">
                  <c:v>0.45</c:v>
                </c:pt>
              </c:numCache>
            </c:numRef>
          </c:yVal>
          <c:smooth val="0"/>
          <c:extLst>
            <c:ext xmlns:c16="http://schemas.microsoft.com/office/drawing/2014/chart" uri="{C3380CC4-5D6E-409C-BE32-E72D297353CC}">
              <c16:uniqueId val="{00000003-9C2A-4F2B-91C1-7C26AC5A2216}"/>
            </c:ext>
          </c:extLst>
        </c:ser>
        <c:ser>
          <c:idx val="1"/>
          <c:order val="1"/>
          <c:tx>
            <c:v>max</c:v>
          </c:tx>
          <c:spPr>
            <a:ln w="19050" cap="rnd">
              <a:solidFill>
                <a:srgbClr val="FF33CC"/>
              </a:solidFill>
              <a:round/>
            </a:ln>
            <a:effectLst/>
          </c:spPr>
          <c:marker>
            <c:symbol val="triangle"/>
            <c:size val="5"/>
            <c:spPr>
              <a:solidFill>
                <a:srgbClr val="FF33CC"/>
              </a:solidFill>
              <a:ln w="9525">
                <a:solidFill>
                  <a:srgbClr val="FF33CC"/>
                </a:solidFill>
              </a:ln>
              <a:effectLst/>
            </c:spPr>
          </c:marker>
          <c:xVal>
            <c:numRef>
              <c:f>'CG Range'!$D$15:$D$17</c:f>
              <c:numCache>
                <c:formatCode>General</c:formatCode>
                <c:ptCount val="3"/>
                <c:pt idx="0">
                  <c:v>2.1585190000000001</c:v>
                </c:pt>
                <c:pt idx="1">
                  <c:v>1.0976079999999999</c:v>
                </c:pt>
                <c:pt idx="2">
                  <c:v>3.6697E-2</c:v>
                </c:pt>
              </c:numCache>
            </c:numRef>
          </c:xVal>
          <c:yVal>
            <c:numRef>
              <c:f>'CG Range'!$B$15:$B$17</c:f>
              <c:numCache>
                <c:formatCode>General</c:formatCode>
                <c:ptCount val="3"/>
                <c:pt idx="0">
                  <c:v>0.25</c:v>
                </c:pt>
                <c:pt idx="1">
                  <c:v>0.35</c:v>
                </c:pt>
                <c:pt idx="2">
                  <c:v>0.45</c:v>
                </c:pt>
              </c:numCache>
            </c:numRef>
          </c:yVal>
          <c:smooth val="0"/>
          <c:extLst>
            <c:ext xmlns:c16="http://schemas.microsoft.com/office/drawing/2014/chart" uri="{C3380CC4-5D6E-409C-BE32-E72D297353CC}">
              <c16:uniqueId val="{00000004-9C2A-4F2B-91C1-7C26AC5A2216}"/>
            </c:ext>
          </c:extLst>
        </c:ser>
        <c:dLbls>
          <c:showLegendKey val="0"/>
          <c:showVal val="0"/>
          <c:showCatName val="0"/>
          <c:showSerName val="0"/>
          <c:showPercent val="0"/>
          <c:showBubbleSize val="0"/>
        </c:dLbls>
        <c:axId val="1988424399"/>
        <c:axId val="1988424879"/>
      </c:scatterChart>
      <c:valAx>
        <c:axId val="19884243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x_cg /MAC</a:t>
                </a:r>
                <a:r>
                  <a:rPr lang="pl-PL" baseline="0"/>
                  <a:t> [-]</a:t>
                </a: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crossAx val="1988424879"/>
        <c:crosses val="autoZero"/>
        <c:crossBetween val="midCat"/>
      </c:valAx>
      <c:valAx>
        <c:axId val="1988424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pl-PL">
                    <a:latin typeface="Times New Roman" panose="02020603050405020304" pitchFamily="18" charset="0"/>
                    <a:cs typeface="Times New Roman" panose="02020603050405020304" pitchFamily="18" charset="0"/>
                  </a:rPr>
                  <a:t>x_LEMAC/lfus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crossAx val="1988424399"/>
        <c:crosses val="autoZero"/>
        <c:crossBetween val="midCat"/>
      </c:valAx>
      <c:spPr>
        <a:noFill/>
        <a:ln>
          <a:noFill/>
        </a:ln>
        <a:effectLst/>
      </c:spPr>
    </c:plotArea>
    <c:legend>
      <c:legendPos val="r"/>
      <c:layout>
        <c:manualLayout>
          <c:xMode val="edge"/>
          <c:yMode val="edge"/>
          <c:x val="0.83222222222222231"/>
          <c:y val="0.42187445319335082"/>
          <c:w val="0.12850724276876518"/>
          <c:h val="0.15949079397115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pl-PL">
                <a:latin typeface="Times New Roman" panose="02020603050405020304" pitchFamily="18" charset="0"/>
                <a:cs typeface="Times New Roman" panose="02020603050405020304" pitchFamily="18" charset="0"/>
              </a:rPr>
              <a:t>CRJ-EXX CG</a:t>
            </a:r>
            <a:r>
              <a:rPr lang="pl-PL" baseline="0">
                <a:latin typeface="Times New Roman" panose="02020603050405020304" pitchFamily="18" charset="0"/>
                <a:cs typeface="Times New Roman" panose="02020603050405020304" pitchFamily="18" charset="0"/>
              </a:rPr>
              <a:t> Range</a:t>
            </a:r>
          </a:p>
          <a:p>
            <a:pPr>
              <a:defRPr>
                <a:latin typeface="Times New Roman" panose="02020603050405020304" pitchFamily="18" charset="0"/>
                <a:cs typeface="Times New Roman" panose="02020603050405020304" pitchFamily="18" charset="0"/>
              </a:defRPr>
            </a:pPr>
            <a:endParaRPr lang="pl-P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manualLayout>
          <c:layoutTarget val="inner"/>
          <c:xMode val="edge"/>
          <c:yMode val="edge"/>
          <c:x val="7.1270778652668412E-2"/>
          <c:y val="0.16666666666666666"/>
          <c:w val="0.72405555555555556"/>
          <c:h val="0.6755861767279091"/>
        </c:manualLayout>
      </c:layout>
      <c:scatterChart>
        <c:scatterStyle val="lineMarker"/>
        <c:varyColors val="0"/>
        <c:ser>
          <c:idx val="0"/>
          <c:order val="0"/>
          <c:tx>
            <c:v>min</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'CG Range'!$G$15:$G$17</c:f>
              <c:numCache>
                <c:formatCode>General</c:formatCode>
                <c:ptCount val="3"/>
                <c:pt idx="0">
                  <c:v>1.6916960000000001</c:v>
                </c:pt>
                <c:pt idx="1">
                  <c:v>0.63078500000000004</c:v>
                </c:pt>
                <c:pt idx="2">
                  <c:v>-0.43013000000000001</c:v>
                </c:pt>
              </c:numCache>
            </c:numRef>
          </c:xVal>
          <c:yVal>
            <c:numRef>
              <c:f>'CG Range'!$B$15:$B$17</c:f>
              <c:numCache>
                <c:formatCode>General</c:formatCode>
                <c:ptCount val="3"/>
                <c:pt idx="0">
                  <c:v>0.25</c:v>
                </c:pt>
                <c:pt idx="1">
                  <c:v>0.35</c:v>
                </c:pt>
                <c:pt idx="2">
                  <c:v>0.45</c:v>
                </c:pt>
              </c:numCache>
            </c:numRef>
          </c:yVal>
          <c:smooth val="0"/>
          <c:extLst>
            <c:ext xmlns:c16="http://schemas.microsoft.com/office/drawing/2014/chart" uri="{C3380CC4-5D6E-409C-BE32-E72D297353CC}">
              <c16:uniqueId val="{00000000-AC6B-48AA-8000-015066D81378}"/>
            </c:ext>
          </c:extLst>
        </c:ser>
        <c:ser>
          <c:idx val="1"/>
          <c:order val="1"/>
          <c:tx>
            <c:v>max</c:v>
          </c:tx>
          <c:spPr>
            <a:ln w="19050" cap="rnd">
              <a:solidFill>
                <a:srgbClr val="FF33CC"/>
              </a:solidFill>
              <a:round/>
            </a:ln>
            <a:effectLst/>
          </c:spPr>
          <c:marker>
            <c:symbol val="triangle"/>
            <c:size val="5"/>
            <c:spPr>
              <a:solidFill>
                <a:srgbClr val="FF33CC"/>
              </a:solidFill>
              <a:ln w="9525">
                <a:solidFill>
                  <a:srgbClr val="FF33CC"/>
                </a:solidFill>
              </a:ln>
              <a:effectLst/>
            </c:spPr>
          </c:marker>
          <c:xVal>
            <c:numRef>
              <c:f>'CG Range'!$H$15:$H$17</c:f>
              <c:numCache>
                <c:formatCode>General</c:formatCode>
                <c:ptCount val="3"/>
                <c:pt idx="0">
                  <c:v>2.6080290000000002</c:v>
                </c:pt>
                <c:pt idx="1">
                  <c:v>1.547118</c:v>
                </c:pt>
                <c:pt idx="2">
                  <c:v>0.486207</c:v>
                </c:pt>
              </c:numCache>
            </c:numRef>
          </c:xVal>
          <c:yVal>
            <c:numRef>
              <c:f>'CG Range'!$B$15:$B$17</c:f>
              <c:numCache>
                <c:formatCode>General</c:formatCode>
                <c:ptCount val="3"/>
                <c:pt idx="0">
                  <c:v>0.25</c:v>
                </c:pt>
                <c:pt idx="1">
                  <c:v>0.35</c:v>
                </c:pt>
                <c:pt idx="2">
                  <c:v>0.45</c:v>
                </c:pt>
              </c:numCache>
            </c:numRef>
          </c:yVal>
          <c:smooth val="0"/>
          <c:extLst>
            <c:ext xmlns:c16="http://schemas.microsoft.com/office/drawing/2014/chart" uri="{C3380CC4-5D6E-409C-BE32-E72D297353CC}">
              <c16:uniqueId val="{00000001-AC6B-48AA-8000-015066D81378}"/>
            </c:ext>
          </c:extLst>
        </c:ser>
        <c:dLbls>
          <c:showLegendKey val="0"/>
          <c:showVal val="0"/>
          <c:showCatName val="0"/>
          <c:showSerName val="0"/>
          <c:showPercent val="0"/>
          <c:showBubbleSize val="0"/>
        </c:dLbls>
        <c:axId val="1988424399"/>
        <c:axId val="1988424879"/>
      </c:scatterChart>
      <c:valAx>
        <c:axId val="19884243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a:solidFill>
                      <a:schemeClr val="tx1"/>
                    </a:solidFill>
                    <a:latin typeface="Times New Roman" panose="02020603050405020304" pitchFamily="18" charset="0"/>
                    <a:cs typeface="Times New Roman" panose="02020603050405020304" pitchFamily="18" charset="0"/>
                  </a:rPr>
                  <a:t>x_cg/MAC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crossAx val="1988424879"/>
        <c:crosses val="autoZero"/>
        <c:crossBetween val="midCat"/>
      </c:valAx>
      <c:valAx>
        <c:axId val="1988424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pl-PL">
                    <a:solidFill>
                      <a:schemeClr val="tx1"/>
                    </a:solidFill>
                    <a:latin typeface="Times New Roman" panose="02020603050405020304" pitchFamily="18" charset="0"/>
                    <a:cs typeface="Times New Roman" panose="02020603050405020304" pitchFamily="18" charset="0"/>
                  </a:rPr>
                  <a:t>x_LEMAC/lfus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pl-PL"/>
          </a:p>
        </c:txPr>
        <c:crossAx val="1988424399"/>
        <c:crosses val="autoZero"/>
        <c:crossBetween val="midCat"/>
      </c:valAx>
      <c:spPr>
        <a:noFill/>
        <a:ln>
          <a:noFill/>
        </a:ln>
        <a:effectLst/>
      </c:spPr>
    </c:plotArea>
    <c:legend>
      <c:legendPos val="r"/>
      <c:layout>
        <c:manualLayout>
          <c:xMode val="edge"/>
          <c:yMode val="edge"/>
          <c:x val="0.83222222222222231"/>
          <c:y val="0.42187445319335082"/>
          <c:w val="0.1280315848843767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pl-PL">
                <a:solidFill>
                  <a:sysClr val="windowText" lastClr="000000"/>
                </a:solidFill>
                <a:latin typeface="Times New Roman" panose="02020603050405020304" pitchFamily="18" charset="0"/>
                <a:cs typeface="Times New Roman" panose="02020603050405020304" pitchFamily="18" charset="0"/>
              </a:rPr>
              <a:t>CRJ-1000 MTOW Components (mass percentages)</a:t>
            </a:r>
          </a:p>
        </c:rich>
      </c:tx>
      <c:layout>
        <c:manualLayout>
          <c:xMode val="edge"/>
          <c:yMode val="edge"/>
          <c:x val="0.2139413578444955"/>
          <c:y val="2.9893658266949102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manualLayout>
          <c:layoutTarget val="inner"/>
          <c:xMode val="edge"/>
          <c:yMode val="edge"/>
          <c:x val="0.2830494746617388"/>
          <c:y val="0.18591345585729172"/>
          <c:w val="0.43118621969664478"/>
          <c:h val="0.65273867317471446"/>
        </c:manualLayout>
      </c:layout>
      <c:pieChart>
        <c:varyColors val="1"/>
        <c:ser>
          <c:idx val="0"/>
          <c:order val="0"/>
          <c:spPr>
            <a:ln>
              <a:solidFill>
                <a:schemeClr val="bg1"/>
              </a:solidFill>
            </a:ln>
          </c:spPr>
          <c:dPt>
            <c:idx val="0"/>
            <c:bubble3D val="0"/>
            <c:spPr>
              <a:solidFill>
                <a:srgbClr val="99CCFF"/>
              </a:solidFill>
              <a:ln w="19050">
                <a:solidFill>
                  <a:schemeClr val="bg1"/>
                </a:solidFill>
              </a:ln>
              <a:effectLst/>
            </c:spPr>
            <c:extLst>
              <c:ext xmlns:c16="http://schemas.microsoft.com/office/drawing/2014/chart" uri="{C3380CC4-5D6E-409C-BE32-E72D297353CC}">
                <c16:uniqueId val="{00000005-5976-4000-B2FB-5DB767DF4E85}"/>
              </c:ext>
            </c:extLst>
          </c:dPt>
          <c:dPt>
            <c:idx val="1"/>
            <c:bubble3D val="0"/>
            <c:spPr>
              <a:solidFill>
                <a:srgbClr val="99FF66"/>
              </a:solidFill>
              <a:ln w="19050">
                <a:solidFill>
                  <a:schemeClr val="bg1"/>
                </a:solidFill>
              </a:ln>
              <a:effectLst/>
            </c:spPr>
            <c:extLst>
              <c:ext xmlns:c16="http://schemas.microsoft.com/office/drawing/2014/chart" uri="{C3380CC4-5D6E-409C-BE32-E72D297353CC}">
                <c16:uniqueId val="{00000004-5976-4000-B2FB-5DB767DF4E85}"/>
              </c:ext>
            </c:extLst>
          </c:dPt>
          <c:dPt>
            <c:idx val="2"/>
            <c:bubble3D val="0"/>
            <c:spPr>
              <a:solidFill>
                <a:srgbClr val="FF9999"/>
              </a:solidFill>
              <a:ln w="19050">
                <a:solidFill>
                  <a:schemeClr val="bg1"/>
                </a:solidFill>
              </a:ln>
              <a:effectLst/>
            </c:spPr>
            <c:extLst>
              <c:ext xmlns:c16="http://schemas.microsoft.com/office/drawing/2014/chart" uri="{C3380CC4-5D6E-409C-BE32-E72D297353CC}">
                <c16:uniqueId val="{00000001-5976-4000-B2FB-5DB767DF4E85}"/>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2-5976-4000-B2FB-5DB767DF4E85}"/>
              </c:ext>
            </c:extLst>
          </c:dPt>
          <c:dPt>
            <c:idx val="4"/>
            <c:bubble3D val="0"/>
            <c:spPr>
              <a:solidFill>
                <a:srgbClr val="FFFF00"/>
              </a:solidFill>
              <a:ln w="19050">
                <a:solidFill>
                  <a:schemeClr val="bg1"/>
                </a:solidFill>
              </a:ln>
              <a:effectLst/>
            </c:spPr>
            <c:extLst>
              <c:ext xmlns:c16="http://schemas.microsoft.com/office/drawing/2014/chart" uri="{C3380CC4-5D6E-409C-BE32-E72D297353CC}">
                <c16:uniqueId val="{00000006-5976-4000-B2FB-5DB767DF4E85}"/>
              </c:ext>
            </c:extLst>
          </c:dPt>
          <c:dLbls>
            <c:dLbl>
              <c:idx val="0"/>
              <c:layout>
                <c:manualLayout>
                  <c:x val="-0.1588314755276618"/>
                  <c:y val="-5.1063995378956006E-2"/>
                </c:manualLayout>
              </c:layout>
              <c:tx>
                <c:rich>
                  <a:bodyPr/>
                  <a:lstStyle/>
                  <a:p>
                    <a:r>
                      <a:rPr lang="en-US"/>
                      <a:t>55.69%</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5-5976-4000-B2FB-5DB767DF4E85}"/>
                </c:ext>
              </c:extLst>
            </c:dLbl>
            <c:dLbl>
              <c:idx val="1"/>
              <c:layout>
                <c:manualLayout>
                  <c:x val="0.12518000500548679"/>
                  <c:y val="-0.10470507246643572"/>
                </c:manualLayout>
              </c:layout>
              <c:tx>
                <c:rich>
                  <a:bodyPr/>
                  <a:lstStyle/>
                  <a:p>
                    <a:r>
                      <a:rPr lang="en-US"/>
                      <a:t>20.91%</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4-5976-4000-B2FB-5DB767DF4E85}"/>
                </c:ext>
              </c:extLst>
            </c:dLbl>
            <c:dLbl>
              <c:idx val="2"/>
              <c:layout>
                <c:manualLayout>
                  <c:x val="0.11981322475277388"/>
                  <c:y val="9.7501500130686231E-2"/>
                </c:manualLayout>
              </c:layout>
              <c:tx>
                <c:rich>
                  <a:bodyPr/>
                  <a:lstStyle/>
                  <a:p>
                    <a:r>
                      <a:rPr lang="en-US"/>
                      <a:t>15.58%</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1-5976-4000-B2FB-5DB767DF4E85}"/>
                </c:ext>
              </c:extLst>
            </c:dLbl>
            <c:dLbl>
              <c:idx val="3"/>
              <c:layout>
                <c:manualLayout>
                  <c:x val="-3.1049579988320569E-2"/>
                  <c:y val="1.2701304228863284E-2"/>
                </c:manualLayout>
              </c:layout>
              <c:tx>
                <c:rich>
                  <a:bodyPr/>
                  <a:lstStyle/>
                  <a:p>
                    <a:r>
                      <a:rPr lang="en-US"/>
                      <a:t>5.73%</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2-5976-4000-B2FB-5DB767DF4E85}"/>
                </c:ext>
              </c:extLst>
            </c:dLbl>
            <c:dLbl>
              <c:idx val="4"/>
              <c:layout>
                <c:manualLayout>
                  <c:x val="-6.1124694376528121E-3"/>
                  <c:y val="-2.838293861915909E-4"/>
                </c:manualLayout>
              </c:layout>
              <c:tx>
                <c:rich>
                  <a:bodyPr/>
                  <a:lstStyle/>
                  <a:p>
                    <a:r>
                      <a:rPr lang="en-US"/>
                      <a:t>2.09%</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6-5976-4000-B2FB-5DB767DF4E8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showLegendKey val="0"/>
            <c:showVal val="0"/>
            <c:showCatName val="0"/>
            <c:showSerName val="0"/>
            <c:showPercent val="0"/>
            <c:showBubbleSize val="0"/>
            <c:extLst>
              <c:ext xmlns:c15="http://schemas.microsoft.com/office/drawing/2012/chart" uri="{CE6537A1-D6FC-4f65-9D91-7224C49458BB}"/>
            </c:extLst>
          </c:dLbls>
          <c:cat>
            <c:strRef>
              <c:f>'Weight Pie Charts'!$C$9:$C$13</c:f>
              <c:strCache>
                <c:ptCount val="5"/>
                <c:pt idx="0">
                  <c:v>OEW</c:v>
                </c:pt>
                <c:pt idx="1">
                  <c:v>Wp (cabin)</c:v>
                </c:pt>
                <c:pt idx="2">
                  <c:v>WF</c:v>
                </c:pt>
                <c:pt idx="3">
                  <c:v>Wp (aft)</c:v>
                </c:pt>
                <c:pt idx="4">
                  <c:v>Wp (front)</c:v>
                </c:pt>
              </c:strCache>
            </c:strRef>
          </c:cat>
          <c:val>
            <c:numRef>
              <c:f>'Weight Pie Charts'!$D$9:$D$13</c:f>
              <c:numCache>
                <c:formatCode>General</c:formatCode>
                <c:ptCount val="5"/>
                <c:pt idx="0">
                  <c:v>23188</c:v>
                </c:pt>
                <c:pt idx="1">
                  <c:v>8708</c:v>
                </c:pt>
                <c:pt idx="2">
                  <c:v>6487</c:v>
                </c:pt>
                <c:pt idx="3">
                  <c:v>2386.0381291306553</c:v>
                </c:pt>
                <c:pt idx="4">
                  <c:v>870.96187086934412</c:v>
                </c:pt>
              </c:numCache>
            </c:numRef>
          </c:val>
          <c:extLst>
            <c:ext xmlns:c16="http://schemas.microsoft.com/office/drawing/2014/chart" uri="{C3380CC4-5D6E-409C-BE32-E72D297353CC}">
              <c16:uniqueId val="{00000000-5976-4000-B2FB-5DB767DF4E8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9.6125560710779143E-2"/>
          <c:y val="0.87973562764113944"/>
          <c:w val="0.81906418653325685"/>
          <c:h val="7.291427880239848E-2"/>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pl-P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pl-PL">
                <a:solidFill>
                  <a:sysClr val="windowText" lastClr="000000"/>
                </a:solidFill>
                <a:latin typeface="Times New Roman" panose="02020603050405020304" pitchFamily="18" charset="0"/>
                <a:cs typeface="Times New Roman" panose="02020603050405020304" pitchFamily="18" charset="0"/>
              </a:rPr>
              <a:t>CRJ-EXX MTOW Components (mass percentages)</a:t>
            </a:r>
          </a:p>
        </c:rich>
      </c:tx>
      <c:layout>
        <c:manualLayout>
          <c:xMode val="edge"/>
          <c:yMode val="edge"/>
          <c:x val="0.18956993621837864"/>
          <c:y val="3.299081401825490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pl-PL"/>
        </a:p>
      </c:txPr>
    </c:title>
    <c:autoTitleDeleted val="0"/>
    <c:plotArea>
      <c:layout>
        <c:manualLayout>
          <c:layoutTarget val="inner"/>
          <c:xMode val="edge"/>
          <c:yMode val="edge"/>
          <c:x val="0.2830494746617388"/>
          <c:y val="0.18591345585729172"/>
          <c:w val="0.43118621969664478"/>
          <c:h val="0.65273867317471446"/>
        </c:manualLayout>
      </c:layout>
      <c:pieChart>
        <c:varyColors val="1"/>
        <c:ser>
          <c:idx val="0"/>
          <c:order val="0"/>
          <c:dPt>
            <c:idx val="0"/>
            <c:bubble3D val="0"/>
            <c:spPr>
              <a:solidFill>
                <a:srgbClr val="99CCFF"/>
              </a:solidFill>
              <a:ln w="19050">
                <a:solidFill>
                  <a:schemeClr val="lt1"/>
                </a:solidFill>
              </a:ln>
              <a:effectLst/>
            </c:spPr>
            <c:extLst>
              <c:ext xmlns:c16="http://schemas.microsoft.com/office/drawing/2014/chart" uri="{C3380CC4-5D6E-409C-BE32-E72D297353CC}">
                <c16:uniqueId val="{00000001-518E-433C-AEC9-7B24EAEC7005}"/>
              </c:ext>
            </c:extLst>
          </c:dPt>
          <c:dPt>
            <c:idx val="1"/>
            <c:bubble3D val="0"/>
            <c:spPr>
              <a:solidFill>
                <a:srgbClr val="99FF66"/>
              </a:solidFill>
              <a:ln w="19050">
                <a:solidFill>
                  <a:schemeClr val="lt1"/>
                </a:solidFill>
              </a:ln>
              <a:effectLst/>
            </c:spPr>
            <c:extLst>
              <c:ext xmlns:c16="http://schemas.microsoft.com/office/drawing/2014/chart" uri="{C3380CC4-5D6E-409C-BE32-E72D297353CC}">
                <c16:uniqueId val="{00000003-518E-433C-AEC9-7B24EAEC7005}"/>
              </c:ext>
            </c:extLst>
          </c:dPt>
          <c:dPt>
            <c:idx val="2"/>
            <c:bubble3D val="0"/>
            <c:spPr>
              <a:solidFill>
                <a:srgbClr val="FF9999"/>
              </a:solidFill>
              <a:ln w="19050">
                <a:solidFill>
                  <a:schemeClr val="lt1"/>
                </a:solidFill>
              </a:ln>
              <a:effectLst/>
            </c:spPr>
            <c:extLst>
              <c:ext xmlns:c16="http://schemas.microsoft.com/office/drawing/2014/chart" uri="{C3380CC4-5D6E-409C-BE32-E72D297353CC}">
                <c16:uniqueId val="{00000005-518E-433C-AEC9-7B24EAEC7005}"/>
              </c:ext>
            </c:extLst>
          </c:dPt>
          <c:dPt>
            <c:idx val="3"/>
            <c:bubble3D val="0"/>
            <c:spPr>
              <a:solidFill>
                <a:srgbClr val="9900FF"/>
              </a:solidFill>
              <a:ln w="19050">
                <a:solidFill>
                  <a:schemeClr val="lt1"/>
                </a:solidFill>
              </a:ln>
              <a:effectLst/>
            </c:spPr>
            <c:extLst>
              <c:ext xmlns:c16="http://schemas.microsoft.com/office/drawing/2014/chart" uri="{C3380CC4-5D6E-409C-BE32-E72D297353CC}">
                <c16:uniqueId val="{00000007-518E-433C-AEC9-7B24EAEC7005}"/>
              </c:ext>
            </c:extLst>
          </c:dPt>
          <c:dPt>
            <c:idx val="4"/>
            <c:bubble3D val="0"/>
            <c:spPr>
              <a:solidFill>
                <a:srgbClr val="CC99FF"/>
              </a:solidFill>
              <a:ln w="19050">
                <a:solidFill>
                  <a:schemeClr val="lt1"/>
                </a:solidFill>
              </a:ln>
              <a:effectLst/>
            </c:spPr>
            <c:extLst>
              <c:ext xmlns:c16="http://schemas.microsoft.com/office/drawing/2014/chart" uri="{C3380CC4-5D6E-409C-BE32-E72D297353CC}">
                <c16:uniqueId val="{00000009-518E-433C-AEC9-7B24EAEC7005}"/>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518E-433C-AEC9-7B24EAEC7005}"/>
              </c:ext>
            </c:extLst>
          </c:dPt>
          <c:dPt>
            <c:idx val="6"/>
            <c:bubble3D val="0"/>
            <c:spPr>
              <a:solidFill>
                <a:srgbClr val="FFFF00"/>
              </a:solidFill>
              <a:ln w="19050">
                <a:solidFill>
                  <a:schemeClr val="lt1"/>
                </a:solidFill>
              </a:ln>
              <a:effectLst/>
            </c:spPr>
            <c:extLst>
              <c:ext xmlns:c16="http://schemas.microsoft.com/office/drawing/2014/chart" uri="{C3380CC4-5D6E-409C-BE32-E72D297353CC}">
                <c16:uniqueId val="{0000000D-D8A8-49D5-BFC8-110DF8BDD87C}"/>
              </c:ext>
            </c:extLst>
          </c:dPt>
          <c:dLbls>
            <c:dLbl>
              <c:idx val="0"/>
              <c:layout>
                <c:manualLayout>
                  <c:x val="-0.16475468927009032"/>
                  <c:y val="8.914801653223091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8E-433C-AEC9-7B24EAEC7005}"/>
                </c:ext>
              </c:extLst>
            </c:dLbl>
            <c:dLbl>
              <c:idx val="1"/>
              <c:layout>
                <c:manualLayout>
                  <c:x val="9.778443036918677E-2"/>
                  <c:y val="-0.1242049039435075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8E-433C-AEC9-7B24EAEC7005}"/>
                </c:ext>
              </c:extLst>
            </c:dLbl>
            <c:dLbl>
              <c:idx val="2"/>
              <c:layout>
                <c:manualLayout>
                  <c:x val="0.13225465246343415"/>
                  <c:y val="-3.21027053237559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8E-433C-AEC9-7B24EAEC7005}"/>
                </c:ext>
              </c:extLst>
            </c:dLbl>
            <c:dLbl>
              <c:idx val="3"/>
              <c:layout>
                <c:manualLayout>
                  <c:x val="-1.9062080870698009E-2"/>
                  <c:y val="1.519222205365160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18E-433C-AEC9-7B24EAEC7005}"/>
                </c:ext>
              </c:extLst>
            </c:dLbl>
            <c:dLbl>
              <c:idx val="4"/>
              <c:layout>
                <c:manualLayout>
                  <c:x val="-1.121116736936004E-2"/>
                  <c:y val="1.479575378805174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18E-433C-AEC9-7B24EAEC7005}"/>
                </c:ext>
              </c:extLst>
            </c:dLbl>
            <c:dLbl>
              <c:idx val="5"/>
              <c:layout>
                <c:manualLayout>
                  <c:x val="-3.1701416296060655E-4"/>
                  <c:y val="-1.517651061773929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18E-433C-AEC9-7B24EAEC7005}"/>
                </c:ext>
              </c:extLst>
            </c:dLbl>
            <c:dLbl>
              <c:idx val="6"/>
              <c:layout>
                <c:manualLayout>
                  <c:x val="2.3081737833292641E-2"/>
                  <c:y val="4.659322693579163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A8-49D5-BFC8-110DF8BDD87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pl-PL"/>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'Weight Pie Charts'!$C$38:$C$44</c:f>
              <c:strCache>
                <c:ptCount val="7"/>
                <c:pt idx="0">
                  <c:v>OEW</c:v>
                </c:pt>
                <c:pt idx="1">
                  <c:v>Wp (cabin)</c:v>
                </c:pt>
                <c:pt idx="2">
                  <c:v>WF</c:v>
                </c:pt>
                <c:pt idx="3">
                  <c:v>W Batt (front)</c:v>
                </c:pt>
                <c:pt idx="4">
                  <c:v>W Batt (aft)</c:v>
                </c:pt>
                <c:pt idx="5">
                  <c:v>Wp (aft)</c:v>
                </c:pt>
                <c:pt idx="6">
                  <c:v>Wp (front)</c:v>
                </c:pt>
              </c:strCache>
            </c:strRef>
          </c:cat>
          <c:val>
            <c:numRef>
              <c:f>'Weight Pie Charts'!$D$38:$D$44</c:f>
              <c:numCache>
                <c:formatCode>General</c:formatCode>
                <c:ptCount val="7"/>
                <c:pt idx="0">
                  <c:v>22490.462934840085</c:v>
                </c:pt>
                <c:pt idx="1">
                  <c:v>7663.04</c:v>
                </c:pt>
                <c:pt idx="2">
                  <c:v>3729.4970651599142</c:v>
                </c:pt>
                <c:pt idx="3">
                  <c:v>2025</c:v>
                </c:pt>
                <c:pt idx="4">
                  <c:v>2475</c:v>
                </c:pt>
                <c:pt idx="5">
                  <c:v>2487.9051878354203</c:v>
                </c:pt>
                <c:pt idx="6">
                  <c:v>769.09481216457959</c:v>
                </c:pt>
              </c:numCache>
            </c:numRef>
          </c:val>
          <c:extLst>
            <c:ext xmlns:c16="http://schemas.microsoft.com/office/drawing/2014/chart" uri="{C3380CC4-5D6E-409C-BE32-E72D297353CC}">
              <c16:uniqueId val="{0000000A-518E-433C-AEC9-7B24EAEC70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0020054033588099"/>
          <c:y val="0.86414689603399175"/>
          <c:w val="0.81906418653325685"/>
          <c:h val="0.10720943785955253"/>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pl-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Payload Range Diagram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1-ADDA-4491-BF8B-E020AF14C623}"/>
              </c:ext>
            </c:extLst>
          </c:dPt>
          <c:xVal>
            <c:numRef>
              <c:f>('Mass Estimation'!$B$20,'Mass Estimation'!$B$25,'Mass Estimation'!$B$21,'Mass Estimation'!$B$26)</c:f>
              <c:numCache>
                <c:formatCode>0</c:formatCode>
                <c:ptCount val="4"/>
                <c:pt idx="0" formatCode="General">
                  <c:v>0</c:v>
                </c:pt>
                <c:pt idx="1">
                  <c:v>2228.6572973089751</c:v>
                </c:pt>
                <c:pt idx="2" formatCode="General">
                  <c:v>3056</c:v>
                </c:pt>
                <c:pt idx="3">
                  <c:v>3865.6284530302182</c:v>
                </c:pt>
              </c:numCache>
            </c:numRef>
          </c:xVal>
          <c:yVal>
            <c:numRef>
              <c:f>('Mass Estimation'!$B$23,'Mass Estimation'!$B$23,'Mass Estimation'!$B$22,'Mass Estimation'!$B$20)</c:f>
              <c:numCache>
                <c:formatCode>General</c:formatCode>
                <c:ptCount val="4"/>
                <c:pt idx="0">
                  <c:v>11965</c:v>
                </c:pt>
                <c:pt idx="1">
                  <c:v>11965</c:v>
                </c:pt>
                <c:pt idx="2">
                  <c:v>8400</c:v>
                </c:pt>
                <c:pt idx="3">
                  <c:v>0</c:v>
                </c:pt>
              </c:numCache>
            </c:numRef>
          </c:yVal>
          <c:smooth val="0"/>
          <c:extLst>
            <c:ext xmlns:c16="http://schemas.microsoft.com/office/drawing/2014/chart" uri="{C3380CC4-5D6E-409C-BE32-E72D297353CC}">
              <c16:uniqueId val="{00000006-AA09-45B6-97E3-770646362EA3}"/>
            </c:ext>
          </c:extLst>
        </c:ser>
        <c:dLbls>
          <c:showLegendKey val="0"/>
          <c:showVal val="0"/>
          <c:showCatName val="0"/>
          <c:showSerName val="0"/>
          <c:showPercent val="0"/>
          <c:showBubbleSize val="0"/>
        </c:dLbls>
        <c:axId val="882583920"/>
        <c:axId val="721010176"/>
      </c:scatterChart>
      <c:valAx>
        <c:axId val="882583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Range [km]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10176"/>
        <c:crosses val="autoZero"/>
        <c:crossBetween val="midCat"/>
      </c:valAx>
      <c:valAx>
        <c:axId val="72101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Payload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83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Matching diagram </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smoothMarker"/>
        <c:varyColors val="0"/>
        <c:ser>
          <c:idx val="0"/>
          <c:order val="0"/>
          <c:tx>
            <c:strRef>
              <c:f>'Matching Diagram'!$C$98</c:f>
              <c:strCache>
                <c:ptCount val="1"/>
                <c:pt idx="0">
                  <c:v>Minimum speed</c:v>
                </c:pt>
              </c:strCache>
            </c:strRef>
          </c:tx>
          <c:spPr>
            <a:ln w="15875" cap="rnd">
              <a:solidFill>
                <a:schemeClr val="accent1"/>
              </a:solidFill>
              <a:round/>
            </a:ln>
            <a:effectLst/>
          </c:spPr>
          <c:marker>
            <c:symbol val="none"/>
          </c:marker>
          <c:xVal>
            <c:numRef>
              <c:f>'Matching Diagram'!$C$100:$C$190</c:f>
              <c:numCache>
                <c:formatCode>0</c:formatCode>
                <c:ptCount val="91"/>
                <c:pt idx="0">
                  <c:v>5379.4075927863296</c:v>
                </c:pt>
                <c:pt idx="1">
                  <c:v>5379.4075927863296</c:v>
                </c:pt>
                <c:pt idx="2">
                  <c:v>5379.4075927863296</c:v>
                </c:pt>
                <c:pt idx="3">
                  <c:v>5379.4075927863296</c:v>
                </c:pt>
                <c:pt idx="4">
                  <c:v>5379.4075927863296</c:v>
                </c:pt>
                <c:pt idx="5">
                  <c:v>5379.4075927863296</c:v>
                </c:pt>
                <c:pt idx="6">
                  <c:v>5379.4075927863296</c:v>
                </c:pt>
                <c:pt idx="7">
                  <c:v>5379.4075927863296</c:v>
                </c:pt>
                <c:pt idx="8">
                  <c:v>5379.4075927863296</c:v>
                </c:pt>
                <c:pt idx="9">
                  <c:v>5379.4075927863296</c:v>
                </c:pt>
                <c:pt idx="10">
                  <c:v>5379.4075927863296</c:v>
                </c:pt>
                <c:pt idx="11">
                  <c:v>5379.4075927863296</c:v>
                </c:pt>
                <c:pt idx="12">
                  <c:v>5379.4075927863296</c:v>
                </c:pt>
                <c:pt idx="13">
                  <c:v>5379.4075927863296</c:v>
                </c:pt>
                <c:pt idx="14">
                  <c:v>5379.4075927863296</c:v>
                </c:pt>
                <c:pt idx="15">
                  <c:v>5379.4075927863296</c:v>
                </c:pt>
                <c:pt idx="16">
                  <c:v>5379.4075927863296</c:v>
                </c:pt>
                <c:pt idx="17">
                  <c:v>5379.4075927863296</c:v>
                </c:pt>
                <c:pt idx="18">
                  <c:v>5379.4075927863296</c:v>
                </c:pt>
                <c:pt idx="19">
                  <c:v>5379.4075927863296</c:v>
                </c:pt>
                <c:pt idx="20">
                  <c:v>5379.4075927863296</c:v>
                </c:pt>
                <c:pt idx="21">
                  <c:v>5379.4075927863296</c:v>
                </c:pt>
                <c:pt idx="22">
                  <c:v>5379.4075927863296</c:v>
                </c:pt>
                <c:pt idx="23">
                  <c:v>5379.4075927863296</c:v>
                </c:pt>
                <c:pt idx="24">
                  <c:v>5379.4075927863296</c:v>
                </c:pt>
                <c:pt idx="25">
                  <c:v>5379.4075927863296</c:v>
                </c:pt>
                <c:pt idx="26">
                  <c:v>5379.4075927863296</c:v>
                </c:pt>
                <c:pt idx="27">
                  <c:v>5379.4075927863296</c:v>
                </c:pt>
                <c:pt idx="28">
                  <c:v>5379.4075927863296</c:v>
                </c:pt>
                <c:pt idx="29">
                  <c:v>5379.4075927863296</c:v>
                </c:pt>
                <c:pt idx="30">
                  <c:v>5379.4075927863296</c:v>
                </c:pt>
                <c:pt idx="31">
                  <c:v>5379.4075927863296</c:v>
                </c:pt>
                <c:pt idx="32">
                  <c:v>5379.4075927863296</c:v>
                </c:pt>
                <c:pt idx="33">
                  <c:v>5379.4075927863296</c:v>
                </c:pt>
                <c:pt idx="34">
                  <c:v>5379.4075927863296</c:v>
                </c:pt>
                <c:pt idx="35">
                  <c:v>5379.4075927863296</c:v>
                </c:pt>
                <c:pt idx="36">
                  <c:v>5379.4075927863296</c:v>
                </c:pt>
                <c:pt idx="37">
                  <c:v>5379.4075927863296</c:v>
                </c:pt>
                <c:pt idx="38">
                  <c:v>5379.4075927863296</c:v>
                </c:pt>
                <c:pt idx="39">
                  <c:v>5379.4075927863296</c:v>
                </c:pt>
                <c:pt idx="40">
                  <c:v>5379.4075927863296</c:v>
                </c:pt>
                <c:pt idx="41">
                  <c:v>5379.4075927863296</c:v>
                </c:pt>
                <c:pt idx="42">
                  <c:v>5379.4075927863296</c:v>
                </c:pt>
                <c:pt idx="43">
                  <c:v>5379.4075927863296</c:v>
                </c:pt>
                <c:pt idx="44">
                  <c:v>5379.4075927863296</c:v>
                </c:pt>
                <c:pt idx="45">
                  <c:v>5379.4075927863296</c:v>
                </c:pt>
                <c:pt idx="46">
                  <c:v>5379.4075927863296</c:v>
                </c:pt>
                <c:pt idx="47">
                  <c:v>5379.4075927863296</c:v>
                </c:pt>
                <c:pt idx="48">
                  <c:v>5379.4075927863296</c:v>
                </c:pt>
                <c:pt idx="49">
                  <c:v>5379.4075927863296</c:v>
                </c:pt>
                <c:pt idx="50">
                  <c:v>5379.4075927863296</c:v>
                </c:pt>
                <c:pt idx="51">
                  <c:v>5379.4075927863296</c:v>
                </c:pt>
                <c:pt idx="52">
                  <c:v>5379.4075927863296</c:v>
                </c:pt>
                <c:pt idx="53">
                  <c:v>5379.4075927863296</c:v>
                </c:pt>
                <c:pt idx="54">
                  <c:v>5379.4075927863296</c:v>
                </c:pt>
                <c:pt idx="55">
                  <c:v>5379.4075927863296</c:v>
                </c:pt>
                <c:pt idx="56">
                  <c:v>5379.4075927863296</c:v>
                </c:pt>
                <c:pt idx="57">
                  <c:v>5379.4075927863296</c:v>
                </c:pt>
                <c:pt idx="58">
                  <c:v>5379.4075927863296</c:v>
                </c:pt>
                <c:pt idx="59">
                  <c:v>5379.4075927863296</c:v>
                </c:pt>
                <c:pt idx="60">
                  <c:v>5379.4075927863296</c:v>
                </c:pt>
                <c:pt idx="61">
                  <c:v>5379.4075927863296</c:v>
                </c:pt>
                <c:pt idx="62">
                  <c:v>5379.4075927863296</c:v>
                </c:pt>
                <c:pt idx="63">
                  <c:v>5379.4075927863296</c:v>
                </c:pt>
                <c:pt idx="64">
                  <c:v>5379.4075927863296</c:v>
                </c:pt>
                <c:pt idx="65">
                  <c:v>5379.4075927863296</c:v>
                </c:pt>
                <c:pt idx="66">
                  <c:v>5379.4075927863296</c:v>
                </c:pt>
                <c:pt idx="67">
                  <c:v>5379.4075927863296</c:v>
                </c:pt>
                <c:pt idx="68">
                  <c:v>5379.4075927863296</c:v>
                </c:pt>
                <c:pt idx="69">
                  <c:v>5379.4075927863296</c:v>
                </c:pt>
                <c:pt idx="70">
                  <c:v>5379.4075927863296</c:v>
                </c:pt>
                <c:pt idx="71">
                  <c:v>5379.4075927863296</c:v>
                </c:pt>
                <c:pt idx="72">
                  <c:v>5379.4075927863296</c:v>
                </c:pt>
                <c:pt idx="73">
                  <c:v>5379.4075927863296</c:v>
                </c:pt>
                <c:pt idx="74">
                  <c:v>5379.4075927863296</c:v>
                </c:pt>
                <c:pt idx="75">
                  <c:v>5379.4075927863296</c:v>
                </c:pt>
                <c:pt idx="76">
                  <c:v>5379.4075927863296</c:v>
                </c:pt>
                <c:pt idx="77">
                  <c:v>5379.4075927863296</c:v>
                </c:pt>
                <c:pt idx="78">
                  <c:v>5379.4075927863296</c:v>
                </c:pt>
                <c:pt idx="79">
                  <c:v>5379.4075927863296</c:v>
                </c:pt>
                <c:pt idx="80">
                  <c:v>5379.4075927863296</c:v>
                </c:pt>
                <c:pt idx="81">
                  <c:v>5379.4075927863296</c:v>
                </c:pt>
                <c:pt idx="82">
                  <c:v>5379.4075927863296</c:v>
                </c:pt>
                <c:pt idx="83">
                  <c:v>5379.4075927863296</c:v>
                </c:pt>
                <c:pt idx="84">
                  <c:v>5379.4075927863296</c:v>
                </c:pt>
                <c:pt idx="85">
                  <c:v>5379.4075927863296</c:v>
                </c:pt>
                <c:pt idx="86">
                  <c:v>5379.4075927863296</c:v>
                </c:pt>
                <c:pt idx="87">
                  <c:v>5379.4075927863296</c:v>
                </c:pt>
                <c:pt idx="88">
                  <c:v>5379.4075927863296</c:v>
                </c:pt>
                <c:pt idx="89">
                  <c:v>5379.4075927863296</c:v>
                </c:pt>
                <c:pt idx="90">
                  <c:v>5379.4075927863296</c:v>
                </c:pt>
              </c:numCache>
            </c:numRef>
          </c:xVal>
          <c:yVal>
            <c:numRef>
              <c:f>('Matching Diagram'!$B$100,'Matching Diagram'!$B$97)</c:f>
              <c:numCache>
                <c:formatCode>General</c:formatCode>
                <c:ptCount val="2"/>
                <c:pt idx="0">
                  <c:v>0</c:v>
                </c:pt>
                <c:pt idx="1">
                  <c:v>1</c:v>
                </c:pt>
              </c:numCache>
            </c:numRef>
          </c:yVal>
          <c:smooth val="1"/>
          <c:extLst>
            <c:ext xmlns:c16="http://schemas.microsoft.com/office/drawing/2014/chart" uri="{C3380CC4-5D6E-409C-BE32-E72D297353CC}">
              <c16:uniqueId val="{00000000-65EF-46F3-8424-C56189925B14}"/>
            </c:ext>
          </c:extLst>
        </c:ser>
        <c:ser>
          <c:idx val="1"/>
          <c:order val="1"/>
          <c:tx>
            <c:strRef>
              <c:f>'Matching Diagram'!$D$98</c:f>
              <c:strCache>
                <c:ptCount val="1"/>
                <c:pt idx="0">
                  <c:v>Landing field length</c:v>
                </c:pt>
              </c:strCache>
            </c:strRef>
          </c:tx>
          <c:spPr>
            <a:ln w="15875" cap="rnd">
              <a:solidFill>
                <a:schemeClr val="accent2"/>
              </a:solidFill>
              <a:round/>
            </a:ln>
            <a:effectLst/>
          </c:spPr>
          <c:marker>
            <c:symbol val="none"/>
          </c:marker>
          <c:xVal>
            <c:numRef>
              <c:f>'Matching Diagram'!$D$100:$D$190</c:f>
              <c:numCache>
                <c:formatCode>0</c:formatCode>
                <c:ptCount val="91"/>
                <c:pt idx="0">
                  <c:v>5788.633461047255</c:v>
                </c:pt>
                <c:pt idx="1">
                  <c:v>5788.633461047255</c:v>
                </c:pt>
                <c:pt idx="2">
                  <c:v>5788.633461047255</c:v>
                </c:pt>
                <c:pt idx="3">
                  <c:v>5788.633461047255</c:v>
                </c:pt>
                <c:pt idx="4">
                  <c:v>5788.633461047255</c:v>
                </c:pt>
                <c:pt idx="5">
                  <c:v>5788.633461047255</c:v>
                </c:pt>
                <c:pt idx="6">
                  <c:v>5788.633461047255</c:v>
                </c:pt>
                <c:pt idx="7">
                  <c:v>5788.633461047255</c:v>
                </c:pt>
                <c:pt idx="8">
                  <c:v>5788.633461047255</c:v>
                </c:pt>
                <c:pt idx="9">
                  <c:v>5788.633461047255</c:v>
                </c:pt>
                <c:pt idx="10">
                  <c:v>5788.633461047255</c:v>
                </c:pt>
                <c:pt idx="11">
                  <c:v>5788.633461047255</c:v>
                </c:pt>
                <c:pt idx="12">
                  <c:v>5788.633461047255</c:v>
                </c:pt>
                <c:pt idx="13">
                  <c:v>5788.633461047255</c:v>
                </c:pt>
                <c:pt idx="14">
                  <c:v>5788.633461047255</c:v>
                </c:pt>
                <c:pt idx="15">
                  <c:v>5788.633461047255</c:v>
                </c:pt>
                <c:pt idx="16">
                  <c:v>5788.633461047255</c:v>
                </c:pt>
                <c:pt idx="17">
                  <c:v>5788.633461047255</c:v>
                </c:pt>
                <c:pt idx="18">
                  <c:v>5788.633461047255</c:v>
                </c:pt>
                <c:pt idx="19">
                  <c:v>5788.633461047255</c:v>
                </c:pt>
                <c:pt idx="20">
                  <c:v>5788.633461047255</c:v>
                </c:pt>
                <c:pt idx="21">
                  <c:v>5788.633461047255</c:v>
                </c:pt>
                <c:pt idx="22">
                  <c:v>5788.633461047255</c:v>
                </c:pt>
                <c:pt idx="23">
                  <c:v>5788.633461047255</c:v>
                </c:pt>
                <c:pt idx="24">
                  <c:v>5788.633461047255</c:v>
                </c:pt>
                <c:pt idx="25">
                  <c:v>5788.633461047255</c:v>
                </c:pt>
                <c:pt idx="26">
                  <c:v>5788.633461047255</c:v>
                </c:pt>
                <c:pt idx="27">
                  <c:v>5788.633461047255</c:v>
                </c:pt>
                <c:pt idx="28">
                  <c:v>5788.633461047255</c:v>
                </c:pt>
                <c:pt idx="29">
                  <c:v>5788.633461047255</c:v>
                </c:pt>
                <c:pt idx="30">
                  <c:v>5788.633461047255</c:v>
                </c:pt>
                <c:pt idx="31">
                  <c:v>5788.633461047255</c:v>
                </c:pt>
                <c:pt idx="32">
                  <c:v>5788.633461047255</c:v>
                </c:pt>
                <c:pt idx="33">
                  <c:v>5788.633461047255</c:v>
                </c:pt>
                <c:pt idx="34">
                  <c:v>5788.633461047255</c:v>
                </c:pt>
                <c:pt idx="35">
                  <c:v>5788.633461047255</c:v>
                </c:pt>
                <c:pt idx="36">
                  <c:v>5788.633461047255</c:v>
                </c:pt>
                <c:pt idx="37">
                  <c:v>5788.633461047255</c:v>
                </c:pt>
                <c:pt idx="38">
                  <c:v>5788.633461047255</c:v>
                </c:pt>
                <c:pt idx="39">
                  <c:v>5788.633461047255</c:v>
                </c:pt>
                <c:pt idx="40">
                  <c:v>5788.633461047255</c:v>
                </c:pt>
                <c:pt idx="41">
                  <c:v>5788.633461047255</c:v>
                </c:pt>
                <c:pt idx="42">
                  <c:v>5788.633461047255</c:v>
                </c:pt>
                <c:pt idx="43">
                  <c:v>5788.633461047255</c:v>
                </c:pt>
                <c:pt idx="44">
                  <c:v>5788.633461047255</c:v>
                </c:pt>
                <c:pt idx="45">
                  <c:v>5788.633461047255</c:v>
                </c:pt>
                <c:pt idx="46">
                  <c:v>5788.633461047255</c:v>
                </c:pt>
                <c:pt idx="47">
                  <c:v>5788.633461047255</c:v>
                </c:pt>
                <c:pt idx="48">
                  <c:v>5788.633461047255</c:v>
                </c:pt>
                <c:pt idx="49">
                  <c:v>5788.633461047255</c:v>
                </c:pt>
                <c:pt idx="50">
                  <c:v>5788.633461047255</c:v>
                </c:pt>
                <c:pt idx="51">
                  <c:v>5788.633461047255</c:v>
                </c:pt>
                <c:pt idx="52">
                  <c:v>5788.633461047255</c:v>
                </c:pt>
                <c:pt idx="53">
                  <c:v>5788.633461047255</c:v>
                </c:pt>
                <c:pt idx="54">
                  <c:v>5788.633461047255</c:v>
                </c:pt>
                <c:pt idx="55">
                  <c:v>5788.633461047255</c:v>
                </c:pt>
                <c:pt idx="56">
                  <c:v>5788.633461047255</c:v>
                </c:pt>
                <c:pt idx="57">
                  <c:v>5788.633461047255</c:v>
                </c:pt>
                <c:pt idx="58">
                  <c:v>5788.633461047255</c:v>
                </c:pt>
                <c:pt idx="59">
                  <c:v>5788.633461047255</c:v>
                </c:pt>
                <c:pt idx="60">
                  <c:v>5788.633461047255</c:v>
                </c:pt>
                <c:pt idx="61">
                  <c:v>5788.633461047255</c:v>
                </c:pt>
                <c:pt idx="62">
                  <c:v>5788.633461047255</c:v>
                </c:pt>
                <c:pt idx="63">
                  <c:v>5788.633461047255</c:v>
                </c:pt>
                <c:pt idx="64">
                  <c:v>5788.633461047255</c:v>
                </c:pt>
                <c:pt idx="65">
                  <c:v>5788.633461047255</c:v>
                </c:pt>
                <c:pt idx="66">
                  <c:v>5788.633461047255</c:v>
                </c:pt>
                <c:pt idx="67">
                  <c:v>5788.633461047255</c:v>
                </c:pt>
                <c:pt idx="68">
                  <c:v>5788.633461047255</c:v>
                </c:pt>
                <c:pt idx="69">
                  <c:v>5788.633461047255</c:v>
                </c:pt>
                <c:pt idx="70">
                  <c:v>5788.633461047255</c:v>
                </c:pt>
                <c:pt idx="71">
                  <c:v>5788.633461047255</c:v>
                </c:pt>
                <c:pt idx="72">
                  <c:v>5788.633461047255</c:v>
                </c:pt>
                <c:pt idx="73">
                  <c:v>5788.633461047255</c:v>
                </c:pt>
                <c:pt idx="74">
                  <c:v>5788.633461047255</c:v>
                </c:pt>
                <c:pt idx="75">
                  <c:v>5788.633461047255</c:v>
                </c:pt>
                <c:pt idx="76">
                  <c:v>5788.633461047255</c:v>
                </c:pt>
                <c:pt idx="77">
                  <c:v>5788.633461047255</c:v>
                </c:pt>
                <c:pt idx="78">
                  <c:v>5788.633461047255</c:v>
                </c:pt>
                <c:pt idx="79">
                  <c:v>5788.633461047255</c:v>
                </c:pt>
                <c:pt idx="80">
                  <c:v>5788.633461047255</c:v>
                </c:pt>
                <c:pt idx="81">
                  <c:v>5788.633461047255</c:v>
                </c:pt>
                <c:pt idx="82">
                  <c:v>5788.633461047255</c:v>
                </c:pt>
                <c:pt idx="83">
                  <c:v>5788.633461047255</c:v>
                </c:pt>
                <c:pt idx="84">
                  <c:v>5788.633461047255</c:v>
                </c:pt>
                <c:pt idx="85">
                  <c:v>5788.633461047255</c:v>
                </c:pt>
                <c:pt idx="86">
                  <c:v>5788.633461047255</c:v>
                </c:pt>
                <c:pt idx="87">
                  <c:v>5788.633461047255</c:v>
                </c:pt>
                <c:pt idx="88">
                  <c:v>5788.633461047255</c:v>
                </c:pt>
                <c:pt idx="89">
                  <c:v>5788.633461047255</c:v>
                </c:pt>
                <c:pt idx="90">
                  <c:v>5788.633461047255</c:v>
                </c:pt>
              </c:numCache>
            </c:numRef>
          </c:xVal>
          <c:yVal>
            <c:numRef>
              <c:f>('Matching Diagram'!$B$100,'Matching Diagram'!$B$97)</c:f>
              <c:numCache>
                <c:formatCode>General</c:formatCode>
                <c:ptCount val="2"/>
                <c:pt idx="0">
                  <c:v>0</c:v>
                </c:pt>
                <c:pt idx="1">
                  <c:v>1</c:v>
                </c:pt>
              </c:numCache>
            </c:numRef>
          </c:yVal>
          <c:smooth val="1"/>
          <c:extLst>
            <c:ext xmlns:c16="http://schemas.microsoft.com/office/drawing/2014/chart" uri="{C3380CC4-5D6E-409C-BE32-E72D297353CC}">
              <c16:uniqueId val="{00000002-8835-4C2B-AE7D-523C147B5079}"/>
            </c:ext>
          </c:extLst>
        </c:ser>
        <c:ser>
          <c:idx val="2"/>
          <c:order val="2"/>
          <c:tx>
            <c:strRef>
              <c:f>'Matching Diagram'!$E$98</c:f>
              <c:strCache>
                <c:ptCount val="1"/>
                <c:pt idx="0">
                  <c:v>Cruise Speed</c:v>
                </c:pt>
              </c:strCache>
            </c:strRef>
          </c:tx>
          <c:spPr>
            <a:ln w="15875" cap="rnd">
              <a:solidFill>
                <a:srgbClr val="7030A0"/>
              </a:solidFill>
              <a:round/>
            </a:ln>
            <a:effectLst/>
          </c:spPr>
          <c:marker>
            <c:symbol val="none"/>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Diagram'!$E$100:$E$190</c:f>
              <c:numCache>
                <c:formatCode>General</c:formatCode>
                <c:ptCount val="91"/>
                <c:pt idx="8" formatCode="0.000">
                  <c:v>1.5710624330417944</c:v>
                </c:pt>
                <c:pt idx="9" formatCode="0.000">
                  <c:v>1.3993654182689945</c:v>
                </c:pt>
                <c:pt idx="10" formatCode="0.000">
                  <c:v>1.2623112099811851</c:v>
                </c:pt>
                <c:pt idx="11" formatCode="0.000">
                  <c:v>1.1504517700460961</c:v>
                </c:pt>
                <c:pt idx="12" formatCode="0.000">
                  <c:v>1.0574884063755474</c:v>
                </c:pt>
                <c:pt idx="13" formatCode="0.000">
                  <c:v>0.97906048598541429</c:v>
                </c:pt>
                <c:pt idx="14" formatCode="0.000">
                  <c:v>0.91205327102989342</c:v>
                </c:pt>
                <c:pt idx="15" formatCode="0.000">
                  <c:v>0.85418262042206239</c:v>
                </c:pt>
                <c:pt idx="16" formatCode="0.000">
                  <c:v>0.80373542834672917</c:v>
                </c:pt>
                <c:pt idx="17" formatCode="0.000">
                  <c:v>0.75940167270992376</c:v>
                </c:pt>
                <c:pt idx="18" formatCode="0.000">
                  <c:v>0.72016244743855828</c:v>
                </c:pt>
                <c:pt idx="19" formatCode="0.000">
                  <c:v>0.68521335300124731</c:v>
                </c:pt>
                <c:pt idx="20" formatCode="0.000">
                  <c:v>0.6539108697728826</c:v>
                </c:pt>
                <c:pt idx="21" formatCode="0.000">
                  <c:v>0.62573405329504339</c:v>
                </c:pt>
                <c:pt idx="22" formatCode="0.000">
                  <c:v>0.60025667628356705</c:v>
                </c:pt>
                <c:pt idx="23" formatCode="0.000">
                  <c:v>0.57712663793849328</c:v>
                </c:pt>
                <c:pt idx="24" formatCode="0.000">
                  <c:v>0.55605052092652174</c:v>
                </c:pt>
                <c:pt idx="25" formatCode="0.000">
                  <c:v>0.53678185468768014</c:v>
                </c:pt>
                <c:pt idx="26" formatCode="0.000">
                  <c:v>0.51911208720968416</c:v>
                </c:pt>
                <c:pt idx="27" formatCode="0.000">
                  <c:v>0.50286356307466218</c:v>
                </c:pt>
                <c:pt idx="28" formatCode="0.000">
                  <c:v>0.48788400621015271</c:v>
                </c:pt>
                <c:pt idx="29" formatCode="0.000">
                  <c:v>0.47404214413989576</c:v>
                </c:pt>
                <c:pt idx="30" formatCode="0.000">
                  <c:v>0.46122420738446618</c:v>
                </c:pt>
                <c:pt idx="31" formatCode="0.000">
                  <c:v>0.44933110639726775</c:v>
                </c:pt>
                <c:pt idx="32" formatCode="0.000">
                  <c:v>0.43827613782502861</c:v>
                </c:pt>
                <c:pt idx="33" formatCode="0.000">
                  <c:v>0.42798310781184362</c:v>
                </c:pt>
                <c:pt idx="34" formatCode="0.000">
                  <c:v>0.41838478648485494</c:v>
                </c:pt>
                <c:pt idx="35" formatCode="0.000">
                  <c:v>0.40942162738524579</c:v>
                </c:pt>
                <c:pt idx="36" formatCode="0.000">
                  <c:v>0.40104070032740119</c:v>
                </c:pt>
                <c:pt idx="37" formatCode="0.000">
                  <c:v>0.39319479730793477</c:v>
                </c:pt>
                <c:pt idx="38" formatCode="0.000">
                  <c:v>0.38584167958697468</c:v>
                </c:pt>
                <c:pt idx="39" formatCode="0.000">
                  <c:v>0.37894344060309726</c:v>
                </c:pt>
                <c:pt idx="40" formatCode="0.000">
                  <c:v>0.37246596445102137</c:v>
                </c:pt>
                <c:pt idx="41" formatCode="0.000">
                  <c:v>0.36637846360646875</c:v>
                </c:pt>
                <c:pt idx="42" formatCode="0.000">
                  <c:v>0.36065308269033075</c:v>
                </c:pt>
                <c:pt idx="43" formatCode="0.000">
                  <c:v>0.35526455752155506</c:v>
                </c:pt>
                <c:pt idx="44" formatCode="0.000">
                  <c:v>0.35018992066282156</c:v>
                </c:pt>
                <c:pt idx="45" formatCode="0.000">
                  <c:v>0.34540824622679417</c:v>
                </c:pt>
                <c:pt idx="46" formatCode="0.000">
                  <c:v>0.34090042796851372</c:v>
                </c:pt>
                <c:pt idx="47" formatCode="0.000">
                  <c:v>0.33664898570642193</c:v>
                </c:pt>
                <c:pt idx="48" formatCode="0.000">
                  <c:v>0.33263789594075688</c:v>
                </c:pt>
                <c:pt idx="49" formatCode="0.000">
                  <c:v>0.32885244321255391</c:v>
                </c:pt>
                <c:pt idx="50" formatCode="0.000">
                  <c:v>0.32527908929956512</c:v>
                </c:pt>
                <c:pt idx="51" formatCode="0.000">
                  <c:v>0.32190535780089563</c:v>
                </c:pt>
                <c:pt idx="52" formatCode="0.000">
                  <c:v>0.31871973203879617</c:v>
                </c:pt>
                <c:pt idx="53" formatCode="0.000">
                  <c:v>0.31571156451874394</c:v>
                </c:pt>
                <c:pt idx="54" formatCode="0.000">
                  <c:v>0.31287099644951416</c:v>
                </c:pt>
                <c:pt idx="55" formatCode="0.000">
                  <c:v>0.31018888604288014</c:v>
                </c:pt>
                <c:pt idx="56" formatCode="0.000">
                  <c:v>0.30765674449548847</c:v>
                </c:pt>
                <c:pt idx="57" formatCode="0.000">
                  <c:v>0.30526667870948426</c:v>
                </c:pt>
                <c:pt idx="58" formatCode="0.000">
                  <c:v>0.30301133993858897</c:v>
                </c:pt>
                <c:pt idx="59" formatCode="0.000">
                  <c:v>0.30088387765661057</c:v>
                </c:pt>
                <c:pt idx="60" formatCode="0.000">
                  <c:v>0.29887789803910314</c:v>
                </c:pt>
                <c:pt idx="61" formatCode="0.000">
                  <c:v>0.29698742652879773</c:v>
                </c:pt>
                <c:pt idx="62" formatCode="0.000">
                  <c:v>0.29520687402373291</c:v>
                </c:pt>
                <c:pt idx="63" formatCode="0.000">
                  <c:v>0.29353100628556383</c:v>
                </c:pt>
                <c:pt idx="64" formatCode="0.000">
                  <c:v>0.29195491621584241</c:v>
                </c:pt>
                <c:pt idx="65" formatCode="0.000">
                  <c:v>0.29047399869140933</c:v>
                </c:pt>
                <c:pt idx="66" formatCode="0.000">
                  <c:v>0.28908392768747893</c:v>
                </c:pt>
                <c:pt idx="67" formatCode="0.000">
                  <c:v>0.28778063544940163</c:v>
                </c:pt>
                <c:pt idx="68" formatCode="0.000">
                  <c:v>0.28656029350221351</c:v>
                </c:pt>
                <c:pt idx="69" formatCode="0.000">
                  <c:v>0.2854192953115281</c:v>
                </c:pt>
                <c:pt idx="70" formatCode="0.000">
                  <c:v>0.28435424043063795</c:v>
                </c:pt>
                <c:pt idx="71" formatCode="0.000">
                  <c:v>0.28336191998729837</c:v>
                </c:pt>
                <c:pt idx="72" formatCode="0.000">
                  <c:v>0.28243930337994466</c:v>
                </c:pt>
                <c:pt idx="73" formatCode="0.000">
                  <c:v>0.28158352606737197</c:v>
                </c:pt>
                <c:pt idx="74" formatCode="0.000">
                  <c:v>0.28079187834844049</c:v>
                </c:pt>
                <c:pt idx="75" formatCode="0.000">
                  <c:v>0.28006179503940454</c:v>
                </c:pt>
                <c:pt idx="76" formatCode="0.000">
                  <c:v>0.27939084596618941</c:v>
                </c:pt>
                <c:pt idx="77" formatCode="0.000">
                  <c:v>0.27877672719752927</c:v>
                </c:pt>
                <c:pt idx="78" formatCode="0.000">
                  <c:v>0.27821725295247968</c:v>
                </c:pt>
                <c:pt idx="79" formatCode="0.000">
                  <c:v>0.27771034812254913</c:v>
                </c:pt>
                <c:pt idx="80" formatCode="0.000">
                  <c:v>0.2772540413546708</c:v>
                </c:pt>
                <c:pt idx="81" formatCode="0.000">
                  <c:v>0.27684645864654617</c:v>
                </c:pt>
                <c:pt idx="82" formatCode="0.000">
                  <c:v>0.27648581741062345</c:v>
                </c:pt>
                <c:pt idx="83" formatCode="0.000">
                  <c:v>0.27617042096718453</c:v>
                </c:pt>
                <c:pt idx="84" formatCode="0.000">
                  <c:v>0.27589865343078346</c:v>
                </c:pt>
                <c:pt idx="85" formatCode="0.000">
                  <c:v>0.27566897495764248</c:v>
                </c:pt>
                <c:pt idx="86" formatCode="0.000">
                  <c:v>0.27547991732462462</c:v>
                </c:pt>
                <c:pt idx="87" formatCode="0.000">
                  <c:v>0.27533007981310492</c:v>
                </c:pt>
                <c:pt idx="88" formatCode="0.000">
                  <c:v>0.27521812537348689</c:v>
                </c:pt>
                <c:pt idx="89" formatCode="0.000">
                  <c:v>0.27514277704829065</c:v>
                </c:pt>
                <c:pt idx="90" formatCode="0.000">
                  <c:v>0.27510281463370218</c:v>
                </c:pt>
              </c:numCache>
            </c:numRef>
          </c:yVal>
          <c:smooth val="1"/>
          <c:extLst>
            <c:ext xmlns:c16="http://schemas.microsoft.com/office/drawing/2014/chart" uri="{C3380CC4-5D6E-409C-BE32-E72D297353CC}">
              <c16:uniqueId val="{00000003-8835-4C2B-AE7D-523C147B5079}"/>
            </c:ext>
          </c:extLst>
        </c:ser>
        <c:ser>
          <c:idx val="3"/>
          <c:order val="3"/>
          <c:tx>
            <c:strRef>
              <c:f>'Matching Diagram'!$F$98</c:f>
              <c:strCache>
                <c:ptCount val="1"/>
                <c:pt idx="0">
                  <c:v>Climb rate</c:v>
                </c:pt>
              </c:strCache>
            </c:strRef>
          </c:tx>
          <c:spPr>
            <a:ln w="15875" cap="rnd">
              <a:solidFill>
                <a:schemeClr val="accent4"/>
              </a:solidFill>
              <a:round/>
            </a:ln>
            <a:effectLst/>
          </c:spPr>
          <c:marker>
            <c:symbol val="none"/>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Diagram'!$F$100:$F$190</c:f>
              <c:numCache>
                <c:formatCode>0.000</c:formatCode>
                <c:ptCount val="91"/>
                <c:pt idx="1">
                  <c:v>0.68939747758056813</c:v>
                </c:pt>
                <c:pt idx="2">
                  <c:v>0.55313716934914237</c:v>
                </c:pt>
                <c:pt idx="3">
                  <c:v>0.49291338373114824</c:v>
                </c:pt>
                <c:pt idx="4">
                  <c:v>0.45709062431701758</c:v>
                </c:pt>
                <c:pt idx="5">
                  <c:v>0.4326781903893156</c:v>
                </c:pt>
                <c:pt idx="6">
                  <c:v>0.41466678842733073</c:v>
                </c:pt>
                <c:pt idx="7">
                  <c:v>0.4006626571268278</c:v>
                </c:pt>
                <c:pt idx="8">
                  <c:v>0.38935961544701536</c:v>
                </c:pt>
                <c:pt idx="9">
                  <c:v>0.3799769791867546</c:v>
                </c:pt>
                <c:pt idx="10">
                  <c:v>0.37201596903143896</c:v>
                </c:pt>
                <c:pt idx="11">
                  <c:v>0.36514121945696754</c:v>
                </c:pt>
                <c:pt idx="12">
                  <c:v>0.35911794022030369</c:v>
                </c:pt>
                <c:pt idx="13">
                  <c:v>0.35377627136983136</c:v>
                </c:pt>
                <c:pt idx="14">
                  <c:v>0.34898994074551909</c:v>
                </c:pt>
                <c:pt idx="15">
                  <c:v>0.34466290460400228</c:v>
                </c:pt>
                <c:pt idx="16">
                  <c:v>0.34072066835692011</c:v>
                </c:pt>
                <c:pt idx="17">
                  <c:v>0.33710446667870458</c:v>
                </c:pt>
                <c:pt idx="18">
                  <c:v>0.33376725322873335</c:v>
                </c:pt>
                <c:pt idx="19">
                  <c:v>0.33067087102581944</c:v>
                </c:pt>
                <c:pt idx="20">
                  <c:v>0.32778401386531952</c:v>
                </c:pt>
                <c:pt idx="21">
                  <c:v>0.32508073029333534</c:v>
                </c:pt>
                <c:pt idx="22">
                  <c:v>0.32253930752418297</c:v>
                </c:pt>
                <c:pt idx="23">
                  <c:v>0.32014142641643889</c:v>
                </c:pt>
                <c:pt idx="24">
                  <c:v>0.31787151308711503</c:v>
                </c:pt>
                <c:pt idx="25">
                  <c:v>0.31571623534925575</c:v>
                </c:pt>
                <c:pt idx="26">
                  <c:v>0.31366410728755034</c:v>
                </c:pt>
                <c:pt idx="27">
                  <c:v>0.31170517559886018</c:v>
                </c:pt>
                <c:pt idx="28">
                  <c:v>0.30983076847171231</c:v>
                </c:pt>
                <c:pt idx="29">
                  <c:v>0.30803329280840758</c:v>
                </c:pt>
                <c:pt idx="30">
                  <c:v>0.30630606918283382</c:v>
                </c:pt>
                <c:pt idx="31">
                  <c:v>0.30464319652204574</c:v>
                </c:pt>
                <c:pt idx="32">
                  <c:v>0.30303944039831548</c:v>
                </c:pt>
                <c:pt idx="33">
                  <c:v>0.30149014022299431</c:v>
                </c:pt>
                <c:pt idx="34">
                  <c:v>0.2999911316835337</c:v>
                </c:pt>
                <c:pt idx="35">
                  <c:v>0.29853868155748225</c:v>
                </c:pt>
                <c:pt idx="36">
                  <c:v>0.29712943264083924</c:v>
                </c:pt>
                <c:pt idx="37">
                  <c:v>0.29576035699168735</c:v>
                </c:pt>
                <c:pt idx="38">
                  <c:v>0.29442871604891618</c:v>
                </c:pt>
                <c:pt idx="39">
                  <c:v>0.29313202646574787</c:v>
                </c:pt>
                <c:pt idx="40">
                  <c:v>0.29186803071766448</c:v>
                </c:pt>
                <c:pt idx="41">
                  <c:v>0.29063467171817475</c:v>
                </c:pt>
                <c:pt idx="42">
                  <c:v>0.28943007081422523</c:v>
                </c:pt>
                <c:pt idx="43">
                  <c:v>0.28825250864377944</c:v>
                </c:pt>
                <c:pt idx="44">
                  <c:v>0.28710040842725537</c:v>
                </c:pt>
                <c:pt idx="45">
                  <c:v>0.28597232133665185</c:v>
                </c:pt>
                <c:pt idx="46">
                  <c:v>0.28486691364490013</c:v>
                </c:pt>
                <c:pt idx="47">
                  <c:v>0.28378295540594894</c:v>
                </c:pt>
                <c:pt idx="48">
                  <c:v>0.28271931045551063</c:v>
                </c:pt>
                <c:pt idx="49">
                  <c:v>0.28167492755488599</c:v>
                </c:pt>
                <c:pt idx="50">
                  <c:v>0.28064883252723499</c:v>
                </c:pt>
                <c:pt idx="51">
                  <c:v>0.27964012125803567</c:v>
                </c:pt>
                <c:pt idx="52">
                  <c:v>0.27864795345020021</c:v>
                </c:pt>
                <c:pt idx="53">
                  <c:v>0.27767154703997304</c:v>
                </c:pt>
                <c:pt idx="54">
                  <c:v>0.27671017319293406</c:v>
                </c:pt>
                <c:pt idx="55">
                  <c:v>0.27576315181054706</c:v>
                </c:pt>
                <c:pt idx="56">
                  <c:v>0.27482984748712797</c:v>
                </c:pt>
                <c:pt idx="57">
                  <c:v>0.2739096658650948</c:v>
                </c:pt>
                <c:pt idx="58">
                  <c:v>0.27300205034320069</c:v>
                </c:pt>
                <c:pt idx="59">
                  <c:v>0.27210647909825902</c:v>
                </c:pt>
                <c:pt idx="60">
                  <c:v>0.27122246238588205</c:v>
                </c:pt>
                <c:pt idx="61">
                  <c:v>0.27034954009002787</c:v>
                </c:pt>
                <c:pt idx="62">
                  <c:v>0.26948727949486484</c:v>
                </c:pt>
                <c:pt idx="63">
                  <c:v>0.26863527325564068</c:v>
                </c:pt>
                <c:pt idx="64">
                  <c:v>0.26779313754802153</c:v>
                </c:pt>
                <c:pt idx="65">
                  <c:v>0.26696051037775298</c:v>
                </c:pt>
                <c:pt idx="66">
                  <c:v>0.26613705003459698</c:v>
                </c:pt>
                <c:pt idx="67">
                  <c:v>0.26532243367630359</c:v>
                </c:pt>
                <c:pt idx="68">
                  <c:v>0.26451635602998047</c:v>
                </c:pt>
                <c:pt idx="69">
                  <c:v>0.26371852819960301</c:v>
                </c:pt>
                <c:pt idx="70">
                  <c:v>0.2629286765696412</c:v>
                </c:pt>
                <c:pt idx="71">
                  <c:v>0.26214654179583996</c:v>
                </c:pt>
                <c:pt idx="72">
                  <c:v>0.26137187787514926</c:v>
                </c:pt>
                <c:pt idx="73">
                  <c:v>0.26060445128762122</c:v>
                </c:pt>
                <c:pt idx="74">
                  <c:v>0.25984404020383967</c:v>
                </c:pt>
                <c:pt idx="75">
                  <c:v>0.2590904337520919</c:v>
                </c:pt>
                <c:pt idx="76">
                  <c:v>0.25834343134007942</c:v>
                </c:pt>
                <c:pt idx="77">
                  <c:v>0.25760284202646971</c:v>
                </c:pt>
                <c:pt idx="78">
                  <c:v>0.25686848393806022</c:v>
                </c:pt>
                <c:pt idx="79">
                  <c:v>0.25614018372871977</c:v>
                </c:pt>
                <c:pt idx="80">
                  <c:v>0.2554177760766525</c:v>
                </c:pt>
                <c:pt idx="81">
                  <c:v>0.25470110321683831</c:v>
                </c:pt>
                <c:pt idx="82">
                  <c:v>0.25399001450581077</c:v>
                </c:pt>
                <c:pt idx="83">
                  <c:v>0.25328436601618143</c:v>
                </c:pt>
                <c:pt idx="84">
                  <c:v>0.25258402015856413</c:v>
                </c:pt>
                <c:pt idx="85">
                  <c:v>0.25188884532875416</c:v>
                </c:pt>
                <c:pt idx="86">
                  <c:v>0.25119871557821816</c:v>
                </c:pt>
                <c:pt idx="87">
                  <c:v>0.25051351030610697</c:v>
                </c:pt>
                <c:pt idx="88">
                  <c:v>0.24983311397117366</c:v>
                </c:pt>
                <c:pt idx="89">
                  <c:v>0.24915741582210374</c:v>
                </c:pt>
                <c:pt idx="90">
                  <c:v>0.24848630964490159</c:v>
                </c:pt>
              </c:numCache>
            </c:numRef>
          </c:yVal>
          <c:smooth val="1"/>
          <c:extLst>
            <c:ext xmlns:c16="http://schemas.microsoft.com/office/drawing/2014/chart" uri="{C3380CC4-5D6E-409C-BE32-E72D297353CC}">
              <c16:uniqueId val="{00000004-8835-4C2B-AE7D-523C147B5079}"/>
            </c:ext>
          </c:extLst>
        </c:ser>
        <c:ser>
          <c:idx val="4"/>
          <c:order val="4"/>
          <c:tx>
            <c:strRef>
              <c:f>'Matching Diagram'!$G$98</c:f>
              <c:strCache>
                <c:ptCount val="1"/>
                <c:pt idx="0">
                  <c:v>Climb gradient CS25.119</c:v>
                </c:pt>
              </c:strCache>
            </c:strRef>
          </c:tx>
          <c:spPr>
            <a:ln w="15875" cap="rnd">
              <a:solidFill>
                <a:srgbClr val="C00000"/>
              </a:solidFill>
              <a:round/>
            </a:ln>
            <a:effectLst/>
          </c:spPr>
          <c:marker>
            <c:symbol val="none"/>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Diagram'!$G$100:$G$190</c:f>
              <c:numCache>
                <c:formatCode>0.00000</c:formatCode>
                <c:ptCount val="91"/>
                <c:pt idx="1">
                  <c:v>0.16130956593098225</c:v>
                </c:pt>
                <c:pt idx="2">
                  <c:v>0.16389617875587698</c:v>
                </c:pt>
                <c:pt idx="3">
                  <c:v>0.16565514924890076</c:v>
                </c:pt>
                <c:pt idx="4">
                  <c:v>0.16702662898245607</c:v>
                </c:pt>
                <c:pt idx="5">
                  <c:v>0.1681660478391756</c:v>
                </c:pt>
                <c:pt idx="6">
                  <c:v>0.16914840152906885</c:v>
                </c:pt>
                <c:pt idx="7">
                  <c:v>0.17001623085428555</c:v>
                </c:pt>
                <c:pt idx="8">
                  <c:v>0.17079623967597829</c:v>
                </c:pt>
                <c:pt idx="9">
                  <c:v>0.17150640569204192</c:v>
                </c:pt>
                <c:pt idx="10">
                  <c:v>0.17215947068851681</c:v>
                </c:pt>
                <c:pt idx="11">
                  <c:v>0.17276482908215743</c:v>
                </c:pt>
                <c:pt idx="12">
                  <c:v>0.17332962744852443</c:v>
                </c:pt>
                <c:pt idx="13">
                  <c:v>0.17385944239336565</c:v>
                </c:pt>
                <c:pt idx="14">
                  <c:v>0.17435871817049181</c:v>
                </c:pt>
                <c:pt idx="15">
                  <c:v>0.17483106011701066</c:v>
                </c:pt>
                <c:pt idx="16">
                  <c:v>0.17527943776547356</c:v>
                </c:pt>
                <c:pt idx="17">
                  <c:v>0.17570632929066923</c:v>
                </c:pt>
                <c:pt idx="18">
                  <c:v>0.17611382665813113</c:v>
                </c:pt>
                <c:pt idx="19">
                  <c:v>0.17650371373558069</c:v>
                </c:pt>
                <c:pt idx="20">
                  <c:v>0.17687752536408366</c:v>
                </c:pt>
                <c:pt idx="21">
                  <c:v>0.17723659274200845</c:v>
                </c:pt>
                <c:pt idx="22">
                  <c:v>0.17758207878859758</c:v>
                </c:pt>
                <c:pt idx="23">
                  <c:v>0.17791500605084454</c:v>
                </c:pt>
                <c:pt idx="24">
                  <c:v>0.17823627897933436</c:v>
                </c:pt>
                <c:pt idx="25">
                  <c:v>0.17854670189481481</c:v>
                </c:pt>
                <c:pt idx="26">
                  <c:v>0.17884699361692574</c:v>
                </c:pt>
                <c:pt idx="27">
                  <c:v>0.17913779947883376</c:v>
                </c:pt>
                <c:pt idx="28">
                  <c:v>0.17941970127378076</c:v>
                </c:pt>
                <c:pt idx="29">
                  <c:v>0.17969322555020048</c:v>
                </c:pt>
                <c:pt idx="30">
                  <c:v>0.17995885057673758</c:v>
                </c:pt>
                <c:pt idx="31">
                  <c:v>0.18021701222741221</c:v>
                </c:pt>
                <c:pt idx="32">
                  <c:v>0.18046810898358762</c:v>
                </c:pt>
                <c:pt idx="33">
                  <c:v>0.18071250620859422</c:v>
                </c:pt>
                <c:pt idx="34">
                  <c:v>0.18095053981949447</c:v>
                </c:pt>
                <c:pt idx="35">
                  <c:v>0.18118251945615579</c:v>
                </c:pt>
                <c:pt idx="36">
                  <c:v>0.1814087312287794</c:v>
                </c:pt>
                <c:pt idx="37">
                  <c:v>0.18162944011006099</c:v>
                </c:pt>
                <c:pt idx="38">
                  <c:v>0.1818448920262635</c:v>
                </c:pt>
                <c:pt idx="39">
                  <c:v>0.18205531569199548</c:v>
                </c:pt>
                <c:pt idx="40">
                  <c:v>0.18226092422584514</c:v>
                </c:pt>
                <c:pt idx="41">
                  <c:v>0.18246191657785144</c:v>
                </c:pt>
                <c:pt idx="42">
                  <c:v>0.18265847879476185</c:v>
                </c:pt>
                <c:pt idx="43">
                  <c:v>0.18285078514492295</c:v>
                </c:pt>
                <c:pt idx="44">
                  <c:v>0.18303899912126712</c:v>
                </c:pt>
                <c:pt idx="45">
                  <c:v>0.18322327433806621</c:v>
                </c:pt>
                <c:pt idx="46">
                  <c:v>0.18340375533481174</c:v>
                </c:pt>
                <c:pt idx="47">
                  <c:v>0.18358057829863964</c:v>
                </c:pt>
                <c:pt idx="48">
                  <c:v>0.1837538717151119</c:v>
                </c:pt>
                <c:pt idx="49">
                  <c:v>0.18392375695579527</c:v>
                </c:pt>
                <c:pt idx="50">
                  <c:v>0.18409034880994218</c:v>
                </c:pt>
                <c:pt idx="51">
                  <c:v>0.18425375596659596</c:v>
                </c:pt>
                <c:pt idx="52">
                  <c:v>0.18441408145262736</c:v>
                </c:pt>
                <c:pt idx="53">
                  <c:v>0.18457142303149393</c:v>
                </c:pt>
                <c:pt idx="54">
                  <c:v>0.18472587356692297</c:v>
                </c:pt>
                <c:pt idx="55">
                  <c:v>0.18487752135518951</c:v>
                </c:pt>
                <c:pt idx="56">
                  <c:v>0.18502645042922644</c:v>
                </c:pt>
                <c:pt idx="57">
                  <c:v>0.18517274083741281</c:v>
                </c:pt>
                <c:pt idx="58">
                  <c:v>0.18531646889955336</c:v>
                </c:pt>
                <c:pt idx="59">
                  <c:v>0.18545770744228063</c:v>
                </c:pt>
                <c:pt idx="60">
                  <c:v>0.18559652601584917</c:v>
                </c:pt>
                <c:pt idx="61">
                  <c:v>0.18573299109408262</c:v>
                </c:pt>
                <c:pt idx="62">
                  <c:v>0.18586716625903327</c:v>
                </c:pt>
                <c:pt idx="63">
                  <c:v>0.18599911237175479</c:v>
                </c:pt>
                <c:pt idx="64">
                  <c:v>0.1861288877304316</c:v>
                </c:pt>
                <c:pt idx="65">
                  <c:v>0.18625654821698873</c:v>
                </c:pt>
                <c:pt idx="66">
                  <c:v>0.18638214743318055</c:v>
                </c:pt>
                <c:pt idx="67">
                  <c:v>0.18650573682706631</c:v>
                </c:pt>
                <c:pt idx="68">
                  <c:v>0.18662736581068046</c:v>
                </c:pt>
                <c:pt idx="69">
                  <c:v>0.1867470818696349</c:v>
                </c:pt>
                <c:pt idx="70">
                  <c:v>0.18686493066531229</c:v>
                </c:pt>
                <c:pt idx="71">
                  <c:v>0.18698095613025251</c:v>
                </c:pt>
                <c:pt idx="72">
                  <c:v>0.18709520055727361</c:v>
                </c:pt>
                <c:pt idx="73">
                  <c:v>0.18720770468282008</c:v>
                </c:pt>
                <c:pt idx="74">
                  <c:v>0.1873185077649879</c:v>
                </c:pt>
                <c:pt idx="75">
                  <c:v>0.18742764765663147</c:v>
                </c:pt>
                <c:pt idx="76">
                  <c:v>0.1875351608739266</c:v>
                </c:pt>
                <c:pt idx="77">
                  <c:v>0.18764108266072482</c:v>
                </c:pt>
                <c:pt idx="78">
                  <c:v>0.18774544704901286</c:v>
                </c:pt>
                <c:pt idx="79">
                  <c:v>0.18784828691575495</c:v>
                </c:pt>
                <c:pt idx="80">
                  <c:v>0.18794963403638337</c:v>
                </c:pt>
                <c:pt idx="81">
                  <c:v>0.18804951913516774</c:v>
                </c:pt>
                <c:pt idx="82">
                  <c:v>0.18814797193268809</c:v>
                </c:pt>
                <c:pt idx="83">
                  <c:v>0.18824502119060613</c:v>
                </c:pt>
                <c:pt idx="84">
                  <c:v>0.18834069475392284</c:v>
                </c:pt>
                <c:pt idx="85">
                  <c:v>0.18843501959089051</c:v>
                </c:pt>
                <c:pt idx="86">
                  <c:v>0.18852802183073453</c:v>
                </c:pt>
                <c:pt idx="87">
                  <c:v>0.18861972679933142</c:v>
                </c:pt>
                <c:pt idx="88">
                  <c:v>0.18871015905297422</c:v>
                </c:pt>
                <c:pt idx="89">
                  <c:v>0.18879934241034957</c:v>
                </c:pt>
                <c:pt idx="90">
                  <c:v>0.18888729998283896</c:v>
                </c:pt>
              </c:numCache>
            </c:numRef>
          </c:yVal>
          <c:smooth val="1"/>
          <c:extLst>
            <c:ext xmlns:c16="http://schemas.microsoft.com/office/drawing/2014/chart" uri="{C3380CC4-5D6E-409C-BE32-E72D297353CC}">
              <c16:uniqueId val="{00000005-8835-4C2B-AE7D-523C147B5079}"/>
            </c:ext>
          </c:extLst>
        </c:ser>
        <c:ser>
          <c:idx val="5"/>
          <c:order val="9"/>
          <c:tx>
            <c:strRef>
              <c:f>'Matching Diagram'!$L$98</c:f>
              <c:strCache>
                <c:ptCount val="1"/>
                <c:pt idx="0">
                  <c:v>Take-off field length</c:v>
                </c:pt>
              </c:strCache>
            </c:strRef>
          </c:tx>
          <c:spPr>
            <a:ln w="15875" cap="rnd">
              <a:solidFill>
                <a:schemeClr val="accent6"/>
              </a:solidFill>
              <a:round/>
            </a:ln>
            <a:effectLst/>
          </c:spPr>
          <c:marker>
            <c:symbol val="none"/>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Diagram'!$L$100:$L$190</c:f>
              <c:numCache>
                <c:formatCode>General</c:formatCode>
                <c:ptCount val="91"/>
                <c:pt idx="1">
                  <c:v>5.24993732207251E-2</c:v>
                </c:pt>
                <c:pt idx="2">
                  <c:v>6.064428327825707E-2</c:v>
                </c:pt>
                <c:pt idx="3">
                  <c:v>6.6894092580062625E-2</c:v>
                </c:pt>
                <c:pt idx="4">
                  <c:v>7.216292554592782E-2</c:v>
                </c:pt>
                <c:pt idx="5">
                  <c:v>7.6804860573799705E-2</c:v>
                </c:pt>
                <c:pt idx="6">
                  <c:v>8.1001490622786748E-2</c:v>
                </c:pt>
                <c:pt idx="7">
                  <c:v>8.4860690240114639E-2</c:v>
                </c:pt>
                <c:pt idx="8">
                  <c:v>8.8452745660991761E-2</c:v>
                </c:pt>
                <c:pt idx="9">
                  <c:v>9.1826477871130519E-2</c:v>
                </c:pt>
                <c:pt idx="10">
                  <c:v>9.5017433133062906E-2</c:v>
                </c:pt>
                <c:pt idx="11">
                  <c:v>9.8052446003740273E-2</c:v>
                </c:pt>
                <c:pt idx="12">
                  <c:v>0.10095236426460286</c:v>
                </c:pt>
                <c:pt idx="13">
                  <c:v>0.10373376706180992</c:v>
                </c:pt>
                <c:pt idx="14">
                  <c:v>0.10641009670333301</c:v>
                </c:pt>
                <c:pt idx="15">
                  <c:v>0.10899243157831059</c:v>
                </c:pt>
                <c:pt idx="16">
                  <c:v>0.11149003019633325</c:v>
                </c:pt>
                <c:pt idx="17">
                  <c:v>0.11391072410719291</c:v>
                </c:pt>
                <c:pt idx="18">
                  <c:v>0.11626120804372642</c:v>
                </c:pt>
                <c:pt idx="19">
                  <c:v>0.11854725835210525</c:v>
                </c:pt>
                <c:pt idx="20">
                  <c:v>0.12077390025207702</c:v>
                </c:pt>
                <c:pt idx="21">
                  <c:v>0.12294553785748871</c:v>
                </c:pt>
                <c:pt idx="22">
                  <c:v>0.12506605661576584</c:v>
                </c:pt>
                <c:pt idx="23">
                  <c:v>0.12713890499703867</c:v>
                </c:pt>
                <c:pt idx="24">
                  <c:v>0.1291671603500511</c:v>
                </c:pt>
                <c:pt idx="25">
                  <c:v>0.13115358252153594</c:v>
                </c:pt>
                <c:pt idx="26">
                  <c:v>0.13310065790828379</c:v>
                </c:pt>
                <c:pt idx="27">
                  <c:v>0.13501063594914306</c:v>
                </c:pt>
                <c:pt idx="28">
                  <c:v>0.13688555958470688</c:v>
                </c:pt>
                <c:pt idx="29">
                  <c:v>0.13872729086045188</c:v>
                </c:pt>
                <c:pt idx="30">
                  <c:v>0.14053753258748924</c:v>
                </c:pt>
                <c:pt idx="31">
                  <c:v>0.14231784677842946</c:v>
                </c:pt>
                <c:pt idx="32">
                  <c:v>0.14406967042646113</c:v>
                </c:pt>
                <c:pt idx="33">
                  <c:v>0.14579432908112788</c:v>
                </c:pt>
                <c:pt idx="34">
                  <c:v>0.14749304858555284</c:v>
                </c:pt>
                <c:pt idx="35">
                  <c:v>0.1491669652705756</c:v>
                </c:pt>
                <c:pt idx="36">
                  <c:v>0.15081713484673864</c:v>
                </c:pt>
                <c:pt idx="37">
                  <c:v>0.15244454019182388</c:v>
                </c:pt>
                <c:pt idx="38">
                  <c:v>0.15405009819711515</c:v>
                </c:pt>
                <c:pt idx="39">
                  <c:v>0.15563466580781549</c:v>
                </c:pt>
                <c:pt idx="40">
                  <c:v>0.15719904537060342</c:v>
                </c:pt>
                <c:pt idx="41">
                  <c:v>0.15874398938305692</c:v>
                </c:pt>
                <c:pt idx="42">
                  <c:v>0.1602702047247361</c:v>
                </c:pt>
                <c:pt idx="43">
                  <c:v>0.16177835643743482</c:v>
                </c:pt>
                <c:pt idx="44">
                  <c:v>0.16326907111195815</c:v>
                </c:pt>
                <c:pt idx="45">
                  <c:v>0.16474293993035433</c:v>
                </c:pt>
                <c:pt idx="46">
                  <c:v>0.16620052140549732</c:v>
                </c:pt>
                <c:pt idx="47">
                  <c:v>0.16764234385402499</c:v>
                </c:pt>
                <c:pt idx="48">
                  <c:v>0.16906890763368332</c:v>
                </c:pt>
                <c:pt idx="49">
                  <c:v>0.17048068717194137</c:v>
                </c:pt>
                <c:pt idx="50">
                  <c:v>0.17187813280919581</c:v>
                </c:pt>
                <c:pt idx="51">
                  <c:v>0.17326167247686489</c:v>
                </c:pt>
                <c:pt idx="52">
                  <c:v>0.17463171322809745</c:v>
                </c:pt>
                <c:pt idx="53">
                  <c:v>0.17598864263661557</c:v>
                </c:pt>
                <c:pt idx="54">
                  <c:v>0.17733283007731543</c:v>
                </c:pt>
                <c:pt idx="55">
                  <c:v>0.17866462790061716</c:v>
                </c:pt>
                <c:pt idx="56">
                  <c:v>0.17998437251114366</c:v>
                </c:pt>
                <c:pt idx="57">
                  <c:v>0.18129238536008604</c:v>
                </c:pt>
                <c:pt idx="58">
                  <c:v>0.18258897385954892</c:v>
                </c:pt>
                <c:pt idx="59">
                  <c:v>0.18387443222624508</c:v>
                </c:pt>
                <c:pt idx="60">
                  <c:v>0.18514904226109882</c:v>
                </c:pt>
                <c:pt idx="61">
                  <c:v>0.18641307407061039</c:v>
                </c:pt>
                <c:pt idx="62">
                  <c:v>0.18766678673521178</c:v>
                </c:pt>
                <c:pt idx="63">
                  <c:v>0.18891042892929913</c:v>
                </c:pt>
                <c:pt idx="64">
                  <c:v>0.1901442394971441</c:v>
                </c:pt>
                <c:pt idx="65">
                  <c:v>0.19136844798846192</c:v>
                </c:pt>
                <c:pt idx="66">
                  <c:v>0.19258327515703794</c:v>
                </c:pt>
                <c:pt idx="67">
                  <c:v>0.19378893342547937</c:v>
                </c:pt>
                <c:pt idx="68">
                  <c:v>0.19498562731886343</c:v>
                </c:pt>
                <c:pt idx="69">
                  <c:v>0.19617355386978944</c:v>
                </c:pt>
                <c:pt idx="70">
                  <c:v>0.19735290299710523</c:v>
                </c:pt>
                <c:pt idx="71">
                  <c:v>0.19852385786037066</c:v>
                </c:pt>
                <c:pt idx="72">
                  <c:v>0.19968659519193047</c:v>
                </c:pt>
                <c:pt idx="73">
                  <c:v>0.20084128560830161</c:v>
                </c:pt>
                <c:pt idx="74">
                  <c:v>0.20198809390242847</c:v>
                </c:pt>
                <c:pt idx="75">
                  <c:v>0.20312717931822355</c:v>
                </c:pt>
                <c:pt idx="76">
                  <c:v>0.20425869580868811</c:v>
                </c:pt>
                <c:pt idx="77">
                  <c:v>0.20538279227879774</c:v>
                </c:pt>
                <c:pt idx="78">
                  <c:v>0.20649961281423762</c:v>
                </c:pt>
                <c:pt idx="79">
                  <c:v>0.2076092968969821</c:v>
                </c:pt>
                <c:pt idx="80">
                  <c:v>0.20871197960863164</c:v>
                </c:pt>
                <c:pt idx="81">
                  <c:v>0.2098077918223468</c:v>
                </c:pt>
                <c:pt idx="82">
                  <c:v>0.21089686038415045</c:v>
                </c:pt>
                <c:pt idx="83">
                  <c:v>0.21197930828431011</c:v>
                </c:pt>
                <c:pt idx="84">
                  <c:v>0.21305525481945506</c:v>
                </c:pt>
                <c:pt idx="85">
                  <c:v>0.2141248157460337</c:v>
                </c:pt>
                <c:pt idx="86">
                  <c:v>0.2151881034256698</c:v>
                </c:pt>
                <c:pt idx="87">
                  <c:v>0.21624522696293402</c:v>
                </c:pt>
                <c:pt idx="88">
                  <c:v>0.21729629233600928</c:v>
                </c:pt>
                <c:pt idx="89">
                  <c:v>0.21834140252069253</c:v>
                </c:pt>
                <c:pt idx="90">
                  <c:v>0.21938065760814396</c:v>
                </c:pt>
              </c:numCache>
            </c:numRef>
          </c:yVal>
          <c:smooth val="1"/>
          <c:extLst>
            <c:ext xmlns:c16="http://schemas.microsoft.com/office/drawing/2014/chart" uri="{C3380CC4-5D6E-409C-BE32-E72D297353CC}">
              <c16:uniqueId val="{00000006-8835-4C2B-AE7D-523C147B5079}"/>
            </c:ext>
          </c:extLst>
        </c:ser>
        <c:dLbls>
          <c:showLegendKey val="0"/>
          <c:showVal val="0"/>
          <c:showCatName val="0"/>
          <c:showSerName val="0"/>
          <c:showPercent val="0"/>
          <c:showBubbleSize val="0"/>
        </c:dLbls>
        <c:axId val="1101437999"/>
        <c:axId val="171455071"/>
      </c:scatterChart>
      <c:scatterChart>
        <c:scatterStyle val="lineMarker"/>
        <c:varyColors val="0"/>
        <c:ser>
          <c:idx val="7"/>
          <c:order val="5"/>
          <c:tx>
            <c:strRef>
              <c:f>'Matching Diagram'!$H$98</c:f>
              <c:strCache>
                <c:ptCount val="1"/>
                <c:pt idx="0">
                  <c:v>Climb gradient CS25.121a</c:v>
                </c:pt>
              </c:strCache>
            </c:strRef>
          </c:tx>
          <c:spPr>
            <a:ln w="15875" cap="rnd">
              <a:solidFill>
                <a:srgbClr val="FF0000"/>
              </a:solidFill>
              <a:round/>
            </a:ln>
            <a:effectLst/>
          </c:spPr>
          <c:marker>
            <c:symbol val="circle"/>
            <c:size val="5"/>
            <c:spPr>
              <a:noFill/>
              <a:ln w="9525">
                <a:noFill/>
              </a:ln>
              <a:effectLst/>
            </c:spPr>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Diagram'!$H$100:$H$190</c:f>
              <c:numCache>
                <c:formatCode>0.00000</c:formatCode>
                <c:ptCount val="91"/>
                <c:pt idx="1">
                  <c:v>0.22703065279685364</c:v>
                </c:pt>
                <c:pt idx="2">
                  <c:v>0.23088419363449941</c:v>
                </c:pt>
                <c:pt idx="3">
                  <c:v>0.2335029162238608</c:v>
                </c:pt>
                <c:pt idx="4">
                  <c:v>0.23554290840231196</c:v>
                </c:pt>
                <c:pt idx="5">
                  <c:v>0.23723603286798228</c:v>
                </c:pt>
                <c:pt idx="6">
                  <c:v>0.23869422997944331</c:v>
                </c:pt>
                <c:pt idx="7">
                  <c:v>0.23998102821810502</c:v>
                </c:pt>
                <c:pt idx="8">
                  <c:v>0.24113632303327023</c:v>
                </c:pt>
                <c:pt idx="9">
                  <c:v>0.24218698343218054</c:v>
                </c:pt>
                <c:pt idx="10">
                  <c:v>0.24315205974141013</c:v>
                </c:pt>
                <c:pt idx="11">
                  <c:v>0.24404560226825212</c:v>
                </c:pt>
                <c:pt idx="12">
                  <c:v>0.24487830277371175</c:v>
                </c:pt>
                <c:pt idx="13">
                  <c:v>0.24565850669912212</c:v>
                </c:pt>
                <c:pt idx="14">
                  <c:v>0.24639286678090899</c:v>
                </c:pt>
                <c:pt idx="15">
                  <c:v>0.24708678140949533</c:v>
                </c:pt>
                <c:pt idx="16">
                  <c:v>0.2477446981158965</c:v>
                </c:pt>
                <c:pt idx="17">
                  <c:v>0.2483703294423254</c:v>
                </c:pt>
                <c:pt idx="18">
                  <c:v>0.24896681011128027</c:v>
                </c:pt>
                <c:pt idx="19">
                  <c:v>0.24953681380165413</c:v>
                </c:pt>
                <c:pt idx="20">
                  <c:v>0.25008264147448273</c:v>
                </c:pt>
                <c:pt idx="21">
                  <c:v>0.25060628924395106</c:v>
                </c:pt>
                <c:pt idx="22">
                  <c:v>0.25110950127131837</c:v>
                </c:pt>
                <c:pt idx="23">
                  <c:v>0.25159381151205823</c:v>
                </c:pt>
                <c:pt idx="24">
                  <c:v>0.25206057704418039</c:v>
                </c:pt>
                <c:pt idx="25">
                  <c:v>0.25251100495303108</c:v>
                </c:pt>
                <c:pt idx="26">
                  <c:v>0.25294617422447119</c:v>
                </c:pt>
                <c:pt idx="27">
                  <c:v>0.25336705372828611</c:v>
                </c:pt>
                <c:pt idx="28">
                  <c:v>0.25377451710808202</c:v>
                </c:pt>
                <c:pt idx="29">
                  <c:v>0.25416935520062534</c:v>
                </c:pt>
                <c:pt idx="30">
                  <c:v>0.25455228646510714</c:v>
                </c:pt>
                <c:pt idx="31">
                  <c:v>0.2549239657965619</c:v>
                </c:pt>
                <c:pt idx="32">
                  <c:v>0.25528499201756238</c:v>
                </c:pt>
                <c:pt idx="33">
                  <c:v>0.2556359142813085</c:v>
                </c:pt>
                <c:pt idx="34">
                  <c:v>0.25597723757232682</c:v>
                </c:pt>
                <c:pt idx="35">
                  <c:v>0.25630942745463942</c:v>
                </c:pt>
                <c:pt idx="36">
                  <c:v>0.25663291418881201</c:v>
                </c:pt>
                <c:pt idx="37">
                  <c:v>0.25694809631690374</c:v>
                </c:pt>
                <c:pt idx="38">
                  <c:v>0.25725534379655024</c:v>
                </c:pt>
                <c:pt idx="39">
                  <c:v>0.25755500075121601</c:v>
                </c:pt>
                <c:pt idx="40">
                  <c:v>0.257847387892222</c:v>
                </c:pt>
                <c:pt idx="41">
                  <c:v>0.25813280465892369</c:v>
                </c:pt>
                <c:pt idx="42">
                  <c:v>0.25841153111588655</c:v>
                </c:pt>
                <c:pt idx="43">
                  <c:v>0.25868382963976566</c:v>
                </c:pt>
                <c:pt idx="44">
                  <c:v>0.25894994642353342</c:v>
                </c:pt>
                <c:pt idx="45">
                  <c:v>0.25921011282152262</c:v>
                </c:pt>
                <c:pt idx="46">
                  <c:v>0.25946454655528961</c:v>
                </c:pt>
                <c:pt idx="47">
                  <c:v>0.25971345279739888</c:v>
                </c:pt>
                <c:pt idx="48">
                  <c:v>0.25995702514782237</c:v>
                </c:pt>
                <c:pt idx="49">
                  <c:v>0.26019544651560184</c:v>
                </c:pt>
                <c:pt idx="50">
                  <c:v>0.2604288899167107</c:v>
                </c:pt>
                <c:pt idx="51">
                  <c:v>0.26065751919759278</c:v>
                </c:pt>
                <c:pt idx="52">
                  <c:v>0.26088148969262265</c:v>
                </c:pt>
                <c:pt idx="53">
                  <c:v>0.26110094882267387</c:v>
                </c:pt>
                <c:pt idx="54">
                  <c:v>0.26131603664108172</c:v>
                </c:pt>
                <c:pt idx="55">
                  <c:v>0.26152688633251076</c:v>
                </c:pt>
                <c:pt idx="56">
                  <c:v>0.26173362466957167</c:v>
                </c:pt>
                <c:pt idx="57">
                  <c:v>0.26193637243145557</c:v>
                </c:pt>
                <c:pt idx="58">
                  <c:v>0.26213524478835637</c:v>
                </c:pt>
                <c:pt idx="59">
                  <c:v>0.26233035165501795</c:v>
                </c:pt>
                <c:pt idx="60">
                  <c:v>0.26252179801636688</c:v>
                </c:pt>
                <c:pt idx="61">
                  <c:v>0.26270968422786373</c:v>
                </c:pt>
                <c:pt idx="62">
                  <c:v>0.26289410629291776</c:v>
                </c:pt>
                <c:pt idx="63">
                  <c:v>0.26307515611945753</c:v>
                </c:pt>
                <c:pt idx="64">
                  <c:v>0.26325292175753218</c:v>
                </c:pt>
                <c:pt idx="65">
                  <c:v>0.26342748761961637</c:v>
                </c:pt>
                <c:pt idx="66">
                  <c:v>0.26359893468512868</c:v>
                </c:pt>
                <c:pt idx="67">
                  <c:v>0.26376734069051505</c:v>
                </c:pt>
                <c:pt idx="68">
                  <c:v>0.26393278030611633</c:v>
                </c:pt>
                <c:pt idx="69">
                  <c:v>0.26409532530092023</c:v>
                </c:pt>
                <c:pt idx="70">
                  <c:v>0.26425504469619199</c:v>
                </c:pt>
                <c:pt idx="71">
                  <c:v>0.26441200490888161</c:v>
                </c:pt>
                <c:pt idx="72">
                  <c:v>0.2645662698856226</c:v>
                </c:pt>
                <c:pt idx="73">
                  <c:v>0.26471790122806366</c:v>
                </c:pt>
                <c:pt idx="74">
                  <c:v>0.26486695831020207</c:v>
                </c:pt>
                <c:pt idx="75">
                  <c:v>0.26501349838833277</c:v>
                </c:pt>
                <c:pt idx="76">
                  <c:v>0.26515757670417023</c:v>
                </c:pt>
                <c:pt idx="77">
                  <c:v>0.26529924658165038</c:v>
                </c:pt>
                <c:pt idx="78">
                  <c:v>0.26543855951787731</c:v>
                </c:pt>
                <c:pt idx="79">
                  <c:v>0.26557556526864068</c:v>
                </c:pt>
                <c:pt idx="80">
                  <c:v>0.2657103119288905</c:v>
                </c:pt>
                <c:pt idx="81">
                  <c:v>0.2658428460085297</c:v>
                </c:pt>
                <c:pt idx="82">
                  <c:v>0.26597321250384748</c:v>
                </c:pt>
                <c:pt idx="83">
                  <c:v>0.26610145496489646</c:v>
                </c:pt>
                <c:pt idx="84">
                  <c:v>0.26622761555909047</c:v>
                </c:pt>
                <c:pt idx="85">
                  <c:v>0.26635173513127713</c:v>
                </c:pt>
                <c:pt idx="86">
                  <c:v>0.26647385326051776</c:v>
                </c:pt>
                <c:pt idx="87">
                  <c:v>0.26659400831379676</c:v>
                </c:pt>
                <c:pt idx="88">
                  <c:v>0.26671223749685358</c:v>
                </c:pt>
                <c:pt idx="89">
                  <c:v>0.26682857690232697</c:v>
                </c:pt>
                <c:pt idx="90">
                  <c:v>0.26694306155538078</c:v>
                </c:pt>
              </c:numCache>
            </c:numRef>
          </c:yVal>
          <c:smooth val="1"/>
          <c:extLst>
            <c:ext xmlns:c16="http://schemas.microsoft.com/office/drawing/2014/chart" uri="{C3380CC4-5D6E-409C-BE32-E72D297353CC}">
              <c16:uniqueId val="{00000000-4A99-4358-8C1F-B692889BC327}"/>
            </c:ext>
          </c:extLst>
        </c:ser>
        <c:ser>
          <c:idx val="8"/>
          <c:order val="6"/>
          <c:tx>
            <c:strRef>
              <c:f>'Matching Diagram'!$I$98</c:f>
              <c:strCache>
                <c:ptCount val="1"/>
                <c:pt idx="0">
                  <c:v>Climb gradient CS25.121b</c:v>
                </c:pt>
              </c:strCache>
            </c:strRef>
          </c:tx>
          <c:spPr>
            <a:ln w="15875" cap="rnd">
              <a:solidFill>
                <a:srgbClr val="FF7401"/>
              </a:solidFill>
              <a:round/>
            </a:ln>
            <a:effectLst/>
          </c:spPr>
          <c:marker>
            <c:symbol val="circle"/>
            <c:size val="5"/>
            <c:spPr>
              <a:noFill/>
              <a:ln w="9525">
                <a:noFill/>
              </a:ln>
              <a:effectLst/>
            </c:spPr>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Diagram'!$I$100:$I$190</c:f>
              <c:numCache>
                <c:formatCode>0.00000</c:formatCode>
                <c:ptCount val="91"/>
                <c:pt idx="1">
                  <c:v>0.24290882856869814</c:v>
                </c:pt>
                <c:pt idx="2">
                  <c:v>0.24703188014425681</c:v>
                </c:pt>
                <c:pt idx="3">
                  <c:v>0.24983375217647683</c:v>
                </c:pt>
                <c:pt idx="4">
                  <c:v>0.25201641828016053</c:v>
                </c:pt>
                <c:pt idx="5">
                  <c:v>0.2538279572750512</c:v>
                </c:pt>
                <c:pt idx="6">
                  <c:v>0.25538813845677116</c:v>
                </c:pt>
                <c:pt idx="7">
                  <c:v>0.25676493339131806</c:v>
                </c:pt>
                <c:pt idx="8">
                  <c:v>0.25800102775455097</c:v>
                </c:pt>
                <c:pt idx="9">
                  <c:v>0.25912516973088218</c:v>
                </c:pt>
                <c:pt idx="10">
                  <c:v>0.26015774199751845</c:v>
                </c:pt>
                <c:pt idx="11">
                  <c:v>0.26111377751870302</c:v>
                </c:pt>
                <c:pt idx="12">
                  <c:v>0.26200471582081303</c:v>
                </c:pt>
                <c:pt idx="13">
                  <c:v>0.26283948601255319</c:v>
                </c:pt>
                <c:pt idx="14">
                  <c:v>0.26362520611253498</c:v>
                </c:pt>
                <c:pt idx="15">
                  <c:v>0.26436765206633056</c:v>
                </c:pt>
                <c:pt idx="16">
                  <c:v>0.26507158245845552</c:v>
                </c:pt>
                <c:pt idx="17">
                  <c:v>0.26574096948063314</c:v>
                </c:pt>
                <c:pt idx="18">
                  <c:v>0.26637916709304699</c:v>
                </c:pt>
                <c:pt idx="19">
                  <c:v>0.26698903596759244</c:v>
                </c:pt>
                <c:pt idx="20">
                  <c:v>0.26757303799099241</c:v>
                </c:pt>
                <c:pt idx="21">
                  <c:v>0.26813330888259745</c:v>
                </c:pt>
                <c:pt idx="22">
                  <c:v>0.26867171478763108</c:v>
                </c:pt>
                <c:pt idx="23">
                  <c:v>0.26918989694406092</c:v>
                </c:pt>
                <c:pt idx="24">
                  <c:v>0.26968930734185192</c:v>
                </c:pt>
                <c:pt idx="25">
                  <c:v>0.27017123748804894</c:v>
                </c:pt>
                <c:pt idx="26">
                  <c:v>0.27063684183112935</c:v>
                </c:pt>
                <c:pt idx="27">
                  <c:v>0.27108715700214614</c:v>
                </c:pt>
                <c:pt idx="28">
                  <c:v>0.27152311774599963</c:v>
                </c:pt>
                <c:pt idx="29">
                  <c:v>0.27194557020936727</c:v>
                </c:pt>
                <c:pt idx="30">
                  <c:v>0.27235528309937446</c:v>
                </c:pt>
                <c:pt idx="31">
                  <c:v>0.27275295711341013</c:v>
                </c:pt>
                <c:pt idx="32">
                  <c:v>0.27313923295477982</c:v>
                </c:pt>
                <c:pt idx="33">
                  <c:v>0.27351469818361618</c:v>
                </c:pt>
                <c:pt idx="34">
                  <c:v>0.27387989310228938</c:v>
                </c:pt>
                <c:pt idx="35">
                  <c:v>0.27423531583565541</c:v>
                </c:pt>
                <c:pt idx="36">
                  <c:v>0.27458142673604419</c:v>
                </c:pt>
                <c:pt idx="37">
                  <c:v>0.27491865221893552</c:v>
                </c:pt>
                <c:pt idx="38">
                  <c:v>0.27524738811623484</c:v>
                </c:pt>
                <c:pt idx="39">
                  <c:v>0.27556800261887404</c:v>
                </c:pt>
                <c:pt idx="40">
                  <c:v>0.27588083886823228</c:v>
                </c:pt>
                <c:pt idx="41">
                  <c:v>0.27618621724599435</c:v>
                </c:pt>
                <c:pt idx="42">
                  <c:v>0.27648443740401213</c:v>
                </c:pt>
                <c:pt idx="43">
                  <c:v>0.27677578006916165</c:v>
                </c:pt>
                <c:pt idx="44">
                  <c:v>0.27706050865277421</c:v>
                </c:pt>
                <c:pt idx="45">
                  <c:v>0.27733887068975011</c:v>
                </c:pt>
                <c:pt idx="46">
                  <c:v>0.27761109912875742</c:v>
                </c:pt>
                <c:pt idx="47">
                  <c:v>0.27787741349181527</c:v>
                </c:pt>
                <c:pt idx="48">
                  <c:v>0.27813802091898077</c:v>
                </c:pt>
                <c:pt idx="49">
                  <c:v>0.27839311711167369</c:v>
                </c:pt>
                <c:pt idx="50">
                  <c:v>0.27864288718633928</c:v>
                </c:pt>
                <c:pt idx="51">
                  <c:v>0.27888750644859045</c:v>
                </c:pt>
                <c:pt idx="52">
                  <c:v>0.27912714109664977</c:v>
                </c:pt>
                <c:pt idx="53">
                  <c:v>0.27936194886178073</c:v>
                </c:pt>
                <c:pt idx="54">
                  <c:v>0.27959207959243404</c:v>
                </c:pt>
                <c:pt idx="55">
                  <c:v>0.27981767578800565</c:v>
                </c:pt>
                <c:pt idx="56">
                  <c:v>0.28003887308738812</c:v>
                </c:pt>
                <c:pt idx="57">
                  <c:v>0.28025580071688405</c:v>
                </c:pt>
                <c:pt idx="58">
                  <c:v>0.28046858190151425</c:v>
                </c:pt>
                <c:pt idx="59">
                  <c:v>0.28067733424329105</c:v>
                </c:pt>
                <c:pt idx="60">
                  <c:v>0.28088217006962601</c:v>
                </c:pt>
                <c:pt idx="61">
                  <c:v>0.28108319675468674</c:v>
                </c:pt>
                <c:pt idx="62">
                  <c:v>0.28128051701621359</c:v>
                </c:pt>
                <c:pt idx="63">
                  <c:v>0.2814742291900349</c:v>
                </c:pt>
                <c:pt idx="64">
                  <c:v>0.28166442748428511</c:v>
                </c:pt>
                <c:pt idx="65">
                  <c:v>0.281851202215118</c:v>
                </c:pt>
                <c:pt idx="66">
                  <c:v>0.28203464002552864</c:v>
                </c:pt>
                <c:pt idx="67">
                  <c:v>0.28221482408873055</c:v>
                </c:pt>
                <c:pt idx="68">
                  <c:v>0.28239183429739401</c:v>
                </c:pt>
                <c:pt idx="69">
                  <c:v>0.28256574743991952</c:v>
                </c:pt>
                <c:pt idx="70">
                  <c:v>0.2827366373648138</c:v>
                </c:pt>
                <c:pt idx="71">
                  <c:v>0.28290457513412665</c:v>
                </c:pt>
                <c:pt idx="72">
                  <c:v>0.28306962916682088</c:v>
                </c:pt>
                <c:pt idx="73">
                  <c:v>0.28323186537287015</c:v>
                </c:pt>
                <c:pt idx="74">
                  <c:v>0.28339134727879817</c:v>
                </c:pt>
                <c:pt idx="75">
                  <c:v>0.28354813614531715</c:v>
                </c:pt>
                <c:pt idx="76">
                  <c:v>0.28370229107766259</c:v>
                </c:pt>
                <c:pt idx="77">
                  <c:v>0.28385386912916455</c:v>
                </c:pt>
                <c:pt idx="78">
                  <c:v>0.28400292539855576</c:v>
                </c:pt>
                <c:pt idx="79">
                  <c:v>0.28414951312146947</c:v>
                </c:pt>
                <c:pt idx="80">
                  <c:v>0.28429368375654274</c:v>
                </c:pt>
                <c:pt idx="81">
                  <c:v>0.2844354870665099</c:v>
                </c:pt>
                <c:pt idx="82">
                  <c:v>0.28457497119463149</c:v>
                </c:pt>
                <c:pt idx="83">
                  <c:v>0.28471218273678411</c:v>
                </c:pt>
                <c:pt idx="84">
                  <c:v>0.28484716680950589</c:v>
                </c:pt>
                <c:pt idx="85">
                  <c:v>0.28497996711427043</c:v>
                </c:pt>
                <c:pt idx="86">
                  <c:v>0.28511062599823789</c:v>
                </c:pt>
                <c:pt idx="87">
                  <c:v>0.28523918451172076</c:v>
                </c:pt>
                <c:pt idx="88">
                  <c:v>0.28536568246257088</c:v>
                </c:pt>
                <c:pt idx="89">
                  <c:v>0.28549015846769082</c:v>
                </c:pt>
                <c:pt idx="90">
                  <c:v>0.2856126500018506</c:v>
                </c:pt>
              </c:numCache>
            </c:numRef>
          </c:yVal>
          <c:smooth val="0"/>
          <c:extLst>
            <c:ext xmlns:c16="http://schemas.microsoft.com/office/drawing/2014/chart" uri="{C3380CC4-5D6E-409C-BE32-E72D297353CC}">
              <c16:uniqueId val="{00000001-4A99-4358-8C1F-B692889BC327}"/>
            </c:ext>
          </c:extLst>
        </c:ser>
        <c:ser>
          <c:idx val="9"/>
          <c:order val="7"/>
          <c:tx>
            <c:strRef>
              <c:f>'Matching Diagram'!$J$98</c:f>
              <c:strCache>
                <c:ptCount val="1"/>
                <c:pt idx="0">
                  <c:v>Climb gradient CS25.121c</c:v>
                </c:pt>
              </c:strCache>
            </c:strRef>
          </c:tx>
          <c:spPr>
            <a:ln w="15875" cap="rnd">
              <a:solidFill>
                <a:schemeClr val="accent4">
                  <a:lumMod val="75000"/>
                </a:schemeClr>
              </a:solidFill>
              <a:round/>
            </a:ln>
            <a:effectLst/>
          </c:spPr>
          <c:marker>
            <c:symbol val="circle"/>
            <c:size val="5"/>
            <c:spPr>
              <a:noFill/>
              <a:ln w="9525">
                <a:noFill/>
              </a:ln>
              <a:effectLst/>
            </c:spPr>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Diagram'!$J$100:$J$190</c:f>
              <c:numCache>
                <c:formatCode>0.00000</c:formatCode>
                <c:ptCount val="91"/>
                <c:pt idx="1">
                  <c:v>0.16183566914234052</c:v>
                </c:pt>
                <c:pt idx="2">
                  <c:v>0.16458261257198292</c:v>
                </c:pt>
                <c:pt idx="3">
                  <c:v>0.16644933284665295</c:v>
                </c:pt>
                <c:pt idx="4">
                  <c:v>0.16790351313102272</c:v>
                </c:pt>
                <c:pt idx="5">
                  <c:v>0.16911043355109573</c:v>
                </c:pt>
                <c:pt idx="6">
                  <c:v>0.17014988924735311</c:v>
                </c:pt>
                <c:pt idx="7">
                  <c:v>0.17106716562144408</c:v>
                </c:pt>
                <c:pt idx="8">
                  <c:v>0.17189070159407874</c:v>
                </c:pt>
                <c:pt idx="9">
                  <c:v>0.17263965036643306</c:v>
                </c:pt>
                <c:pt idx="10">
                  <c:v>0.17332759170102169</c:v>
                </c:pt>
                <c:pt idx="11">
                  <c:v>0.17396454116558588</c:v>
                </c:pt>
                <c:pt idx="12">
                  <c:v>0.17455812023447401</c:v>
                </c:pt>
                <c:pt idx="13">
                  <c:v>0.17511427784042183</c:v>
                </c:pt>
                <c:pt idx="14">
                  <c:v>0.17563775629482131</c:v>
                </c:pt>
                <c:pt idx="15">
                  <c:v>0.17613240376581907</c:v>
                </c:pt>
                <c:pt idx="16">
                  <c:v>0.17660139061454924</c:v>
                </c:pt>
                <c:pt idx="17">
                  <c:v>0.17704736327551687</c:v>
                </c:pt>
                <c:pt idx="18">
                  <c:v>0.17747255629241385</c:v>
                </c:pt>
                <c:pt idx="19">
                  <c:v>0.17787887556035781</c:v>
                </c:pt>
                <c:pt idx="20">
                  <c:v>0.17826796128768321</c:v>
                </c:pt>
                <c:pt idx="21">
                  <c:v>0.17864123637685203</c:v>
                </c:pt>
                <c:pt idx="22">
                  <c:v>0.17899994412915865</c:v>
                </c:pt>
                <c:pt idx="23">
                  <c:v>0.1793451780036027</c:v>
                </c:pt>
                <c:pt idx="24">
                  <c:v>0.17967790537452366</c:v>
                </c:pt>
                <c:pt idx="25">
                  <c:v>0.1799989866960599</c:v>
                </c:pt>
                <c:pt idx="26">
                  <c:v>0.18030919110839846</c:v>
                </c:pt>
                <c:pt idx="27">
                  <c:v>0.18060920925700122</c:v>
                </c:pt>
                <c:pt idx="28">
                  <c:v>0.18089966390666157</c:v>
                </c:pt>
                <c:pt idx="29">
                  <c:v>0.1811811187944595</c:v>
                </c:pt>
                <c:pt idx="30">
                  <c:v>0.18145408606411886</c:v>
                </c:pt>
                <c:pt idx="31">
                  <c:v>0.18171903254853117</c:v>
                </c:pt>
                <c:pt idx="32">
                  <c:v>0.18197638511010716</c:v>
                </c:pt>
                <c:pt idx="33">
                  <c:v>0.1822265352051303</c:v>
                </c:pt>
                <c:pt idx="34">
                  <c:v>0.18246984280485448</c:v>
                </c:pt>
                <c:pt idx="35">
                  <c:v>0.18270663978017077</c:v>
                </c:pt>
                <c:pt idx="36">
                  <c:v>0.1829372328363883</c:v>
                </c:pt>
                <c:pt idx="37">
                  <c:v>0.18316190606871643</c:v>
                </c:pt>
                <c:pt idx="38">
                  <c:v>0.18338092319635241</c:v>
                </c:pt>
                <c:pt idx="39">
                  <c:v>0.18359452952296101</c:v>
                </c:pt>
                <c:pt idx="40">
                  <c:v>0.18380295366318344</c:v>
                </c:pt>
                <c:pt idx="41">
                  <c:v>0.18400640906823371</c:v>
                </c:pt>
                <c:pt idx="42">
                  <c:v>0.18420509537827404</c:v>
                </c:pt>
                <c:pt idx="43">
                  <c:v>0.1843991996248838</c:v>
                </c:pt>
                <c:pt idx="44">
                  <c:v>0.1845888973033272</c:v>
                </c:pt>
                <c:pt idx="45">
                  <c:v>0.18477435333134917</c:v>
                </c:pt>
                <c:pt idx="46">
                  <c:v>0.18495572290875781</c:v>
                </c:pt>
                <c:pt idx="47">
                  <c:v>0.18513315228998548</c:v>
                </c:pt>
                <c:pt idx="48">
                  <c:v>0.18530677948010163</c:v>
                </c:pt>
                <c:pt idx="49">
                  <c:v>0.18547673486329366</c:v>
                </c:pt>
                <c:pt idx="50">
                  <c:v>0.18564314177161156</c:v>
                </c:pt>
                <c:pt idx="51">
                  <c:v>0.18580611700073266</c:v>
                </c:pt>
                <c:pt idx="52">
                  <c:v>0.18596577127862318</c:v>
                </c:pt>
                <c:pt idx="53">
                  <c:v>0.18612220969221932</c:v>
                </c:pt>
                <c:pt idx="54">
                  <c:v>0.18627553207660918</c:v>
                </c:pt>
                <c:pt idx="55">
                  <c:v>0.18642583337064372</c:v>
                </c:pt>
                <c:pt idx="56">
                  <c:v>0.18657320394242977</c:v>
                </c:pt>
                <c:pt idx="57">
                  <c:v>0.1867177298877476</c:v>
                </c:pt>
                <c:pt idx="58">
                  <c:v>0.18685949330408133</c:v>
                </c:pt>
                <c:pt idx="59">
                  <c:v>0.18699857254263988</c:v>
                </c:pt>
                <c:pt idx="60">
                  <c:v>0.18713504244048004</c:v>
                </c:pt>
                <c:pt idx="61">
                  <c:v>0.18726897453460753</c:v>
                </c:pt>
                <c:pt idx="62">
                  <c:v>0.18740043725972835</c:v>
                </c:pt>
                <c:pt idx="63">
                  <c:v>0.18752949613114156</c:v>
                </c:pt>
                <c:pt idx="64">
                  <c:v>0.18765621391411014</c:v>
                </c:pt>
                <c:pt idx="65">
                  <c:v>0.18778065078090223</c:v>
                </c:pt>
                <c:pt idx="66">
                  <c:v>0.18790286445657936</c:v>
                </c:pt>
                <c:pt idx="67">
                  <c:v>0.18802291035449462</c:v>
                </c:pt>
                <c:pt idx="68">
                  <c:v>0.18814084170237058</c:v>
                </c:pt>
                <c:pt idx="69">
                  <c:v>0.18825670965974003</c:v>
                </c:pt>
                <c:pt idx="70">
                  <c:v>0.18837056342745984</c:v>
                </c:pt>
                <c:pt idx="71">
                  <c:v>0.18848245034993669</c:v>
                </c:pt>
                <c:pt idx="72">
                  <c:v>0.18859241601064616</c:v>
                </c:pt>
                <c:pt idx="73">
                  <c:v>0.18870050432147373</c:v>
                </c:pt>
                <c:pt idx="74">
                  <c:v>0.18880675760635446</c:v>
                </c:pt>
                <c:pt idx="75">
                  <c:v>0.18891121667964828</c:v>
                </c:pt>
                <c:pt idx="76">
                  <c:v>0.18901392091964941</c:v>
                </c:pt>
                <c:pt idx="77">
                  <c:v>0.18911490833758995</c:v>
                </c:pt>
                <c:pt idx="78">
                  <c:v>0.18921421564247023</c:v>
                </c:pt>
                <c:pt idx="79">
                  <c:v>0.18931187830201859</c:v>
                </c:pt>
                <c:pt idx="80">
                  <c:v>0.18940793060005665</c:v>
                </c:pt>
                <c:pt idx="81">
                  <c:v>0.18950240569052726</c:v>
                </c:pt>
                <c:pt idx="82">
                  <c:v>0.18959533564841435</c:v>
                </c:pt>
                <c:pt idx="83">
                  <c:v>0.18968675151777228</c:v>
                </c:pt>
                <c:pt idx="84">
                  <c:v>0.18977668335706033</c:v>
                </c:pt>
                <c:pt idx="85">
                  <c:v>0.18986516028196465</c:v>
                </c:pt>
                <c:pt idx="86">
                  <c:v>0.18995221050587319</c:v>
                </c:pt>
                <c:pt idx="87">
                  <c:v>0.19003786137816153</c:v>
                </c:pt>
                <c:pt idx="88">
                  <c:v>0.1901221394204278</c:v>
                </c:pt>
                <c:pt idx="89">
                  <c:v>0.19020507036081169</c:v>
                </c:pt>
                <c:pt idx="90">
                  <c:v>0.19028667916651804</c:v>
                </c:pt>
              </c:numCache>
            </c:numRef>
          </c:yVal>
          <c:smooth val="0"/>
          <c:extLst>
            <c:ext xmlns:c16="http://schemas.microsoft.com/office/drawing/2014/chart" uri="{C3380CC4-5D6E-409C-BE32-E72D297353CC}">
              <c16:uniqueId val="{00000002-4A99-4358-8C1F-B692889BC327}"/>
            </c:ext>
          </c:extLst>
        </c:ser>
        <c:ser>
          <c:idx val="10"/>
          <c:order val="8"/>
          <c:tx>
            <c:strRef>
              <c:f>'Matching Diagram'!$K$98</c:f>
              <c:strCache>
                <c:ptCount val="1"/>
                <c:pt idx="0">
                  <c:v>Climb gradient CS25.121d</c:v>
                </c:pt>
              </c:strCache>
            </c:strRef>
          </c:tx>
          <c:spPr>
            <a:ln w="15875" cap="rnd">
              <a:solidFill>
                <a:srgbClr val="00B0F0"/>
              </a:solidFill>
              <a:round/>
            </a:ln>
            <a:effectLst/>
          </c:spPr>
          <c:marker>
            <c:symbol val="circle"/>
            <c:size val="5"/>
            <c:spPr>
              <a:noFill/>
              <a:ln w="9525">
                <a:noFill/>
              </a:ln>
              <a:effectLst/>
            </c:spPr>
          </c:marker>
          <c:xVal>
            <c:numRef>
              <c:f>'Matching Diagram'!$B$100:$B$190</c:f>
              <c:numCache>
                <c:formatCode>General</c:formatCode>
                <c:ptCount val="9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numCache>
            </c:numRef>
          </c:xVal>
          <c:yVal>
            <c:numRef>
              <c:f>'Matching Diagram'!$K$100:$K$190</c:f>
              <c:numCache>
                <c:formatCode>0.00000</c:formatCode>
                <c:ptCount val="91"/>
                <c:pt idx="1">
                  <c:v>0.20248258116357223</c:v>
                </c:pt>
                <c:pt idx="2">
                  <c:v>0.20572940684457103</c:v>
                </c:pt>
                <c:pt idx="3">
                  <c:v>0.20793734090950064</c:v>
                </c:pt>
                <c:pt idx="4">
                  <c:v>0.20965888020483678</c:v>
                </c:pt>
                <c:pt idx="5">
                  <c:v>0.2110891268848987</c:v>
                </c:pt>
                <c:pt idx="6">
                  <c:v>0.21232221873284435</c:v>
                </c:pt>
                <c:pt idx="7">
                  <c:v>0.21341155476053225</c:v>
                </c:pt>
                <c:pt idx="8">
                  <c:v>0.21439065478250044</c:v>
                </c:pt>
                <c:pt idx="9">
                  <c:v>0.21528208516455688</c:v>
                </c:pt>
                <c:pt idx="10">
                  <c:v>0.21610183993477544</c:v>
                </c:pt>
                <c:pt idx="11">
                  <c:v>0.21686171136190352</c:v>
                </c:pt>
                <c:pt idx="12">
                  <c:v>0.21757067012946904</c:v>
                </c:pt>
                <c:pt idx="13">
                  <c:v>0.2182357162285726</c:v>
                </c:pt>
                <c:pt idx="14">
                  <c:v>0.21886242827433069</c:v>
                </c:pt>
                <c:pt idx="15">
                  <c:v>0.21945533183817692</c:v>
                </c:pt>
                <c:pt idx="16">
                  <c:v>0.22001815440280806</c:v>
                </c:pt>
                <c:pt idx="17">
                  <c:v>0.2205540066779017</c:v>
                </c:pt>
                <c:pt idx="18">
                  <c:v>0.22106551458696358</c:v>
                </c:pt>
                <c:pt idx="19">
                  <c:v>0.22155491731611165</c:v>
                </c:pt>
                <c:pt idx="20">
                  <c:v>0.22202414146268595</c:v>
                </c:pt>
                <c:pt idx="21">
                  <c:v>0.22247485800311081</c:v>
                </c:pt>
                <c:pt idx="22">
                  <c:v>0.22290852668274325</c:v>
                </c:pt>
                <c:pt idx="23">
                  <c:v>0.22332643104576366</c:v>
                </c:pt>
                <c:pt idx="24">
                  <c:v>0.22372970639675202</c:v>
                </c:pt>
                <c:pt idx="25">
                  <c:v>0.22411936235308688</c:v>
                </c:pt>
                <c:pt idx="26">
                  <c:v>0.22449630120754452</c:v>
                </c:pt>
                <c:pt idx="27">
                  <c:v>0.22486133300957553</c:v>
                </c:pt>
                <c:pt idx="28">
                  <c:v>0.22521518805063331</c:v>
                </c:pt>
                <c:pt idx="29">
                  <c:v>0.22555852727655412</c:v>
                </c:pt>
                <c:pt idx="30">
                  <c:v>0.22589195103034368</c:v>
                </c:pt>
                <c:pt idx="31">
                  <c:v>0.2262160064394842</c:v>
                </c:pt>
                <c:pt idx="32">
                  <c:v>0.22653119369461541</c:v>
                </c:pt>
                <c:pt idx="33">
                  <c:v>0.22683797141522333</c:v>
                </c:pt>
                <c:pt idx="34">
                  <c:v>0.22713676125859431</c:v>
                </c:pt>
                <c:pt idx="35">
                  <c:v>0.2274279518977699</c:v>
                </c:pt>
                <c:pt idx="36">
                  <c:v>0.2277119024703603</c:v>
                </c:pt>
                <c:pt idx="37">
                  <c:v>0.22798894558128618</c:v>
                </c:pt>
                <c:pt idx="38">
                  <c:v>0.22825938992758107</c:v>
                </c:pt>
                <c:pt idx="39">
                  <c:v>0.22852352260148306</c:v>
                </c:pt>
                <c:pt idx="40">
                  <c:v>0.22878161111844639</c:v>
                </c:pt>
                <c:pt idx="41">
                  <c:v>0.22903390520896416</c:v>
                </c:pt>
                <c:pt idx="42">
                  <c:v>0.22928063840677268</c:v>
                </c:pt>
                <c:pt idx="43">
                  <c:v>0.22952202946086198</c:v>
                </c:pt>
                <c:pt idx="44">
                  <c:v>0.22975828359446704</c:v>
                </c:pt>
                <c:pt idx="45">
                  <c:v>0.22998959363071078</c:v>
                </c:pt>
                <c:pt idx="46">
                  <c:v>0.23021614100166857</c:v>
                </c:pt>
                <c:pt idx="47">
                  <c:v>0.23043809665518622</c:v>
                </c:pt>
                <c:pt idx="48">
                  <c:v>0.23065562187176869</c:v>
                </c:pt>
                <c:pt idx="49">
                  <c:v>0.23086886900213341</c:v>
                </c:pt>
                <c:pt idx="50">
                  <c:v>0.23107798213459904</c:v>
                </c:pt>
                <c:pt idx="51">
                  <c:v>0.23128309770024388</c:v>
                </c:pt>
                <c:pt idx="52">
                  <c:v>0.23148434502274814</c:v>
                </c:pt>
                <c:pt idx="53">
                  <c:v>0.23168184681893361</c:v>
                </c:pt>
                <c:pt idx="54">
                  <c:v>0.23187571965527329</c:v>
                </c:pt>
                <c:pt idx="55">
                  <c:v>0.2320660743649815</c:v>
                </c:pt>
                <c:pt idx="56">
                  <c:v>0.23225301642974541</c:v>
                </c:pt>
                <c:pt idx="57">
                  <c:v>0.23243664632967159</c:v>
                </c:pt>
                <c:pt idx="58">
                  <c:v>0.23261705986460299</c:v>
                </c:pt>
                <c:pt idx="59">
                  <c:v>0.23279434844960506</c:v>
                </c:pt>
                <c:pt idx="60">
                  <c:v>0.23296859938709519</c:v>
                </c:pt>
                <c:pt idx="61">
                  <c:v>0.23313989611782482</c:v>
                </c:pt>
                <c:pt idx="62">
                  <c:v>0.23330831845267186</c:v>
                </c:pt>
                <c:pt idx="63">
                  <c:v>0.23347394278700168</c:v>
                </c:pt>
                <c:pt idx="64">
                  <c:v>0.23363684229915807</c:v>
                </c:pt>
                <c:pt idx="65">
                  <c:v>0.23379708713449376</c:v>
                </c:pt>
                <c:pt idx="66">
                  <c:v>0.23395474457619517</c:v>
                </c:pt>
                <c:pt idx="67">
                  <c:v>0.2341098792040395</c:v>
                </c:pt>
                <c:pt idx="68">
                  <c:v>0.23426255304209956</c:v>
                </c:pt>
                <c:pt idx="69">
                  <c:v>0.23441282569632144</c:v>
                </c:pt>
                <c:pt idx="70">
                  <c:v>0.23456075448280139</c:v>
                </c:pt>
                <c:pt idx="71">
                  <c:v>0.23470639454751921</c:v>
                </c:pt>
                <c:pt idx="72">
                  <c:v>0.23484979897820679</c:v>
                </c:pt>
                <c:pt idx="73">
                  <c:v>0.2349910189089699</c:v>
                </c:pt>
                <c:pt idx="74">
                  <c:v>0.23513010361822895</c:v>
                </c:pt>
                <c:pt idx="75">
                  <c:v>0.23526710062048586</c:v>
                </c:pt>
                <c:pt idx="76">
                  <c:v>0.23540205575238693</c:v>
                </c:pt>
                <c:pt idx="77">
                  <c:v>0.23553501325350334</c:v>
                </c:pt>
                <c:pt idx="78">
                  <c:v>0.23566601584222246</c:v>
                </c:pt>
                <c:pt idx="79">
                  <c:v>0.23579510478709867</c:v>
                </c:pt>
                <c:pt idx="80">
                  <c:v>0.23592231997399662</c:v>
                </c:pt>
                <c:pt idx="81">
                  <c:v>0.23604769996931743</c:v>
                </c:pt>
                <c:pt idx="82">
                  <c:v>0.23617128207958873</c:v>
                </c:pt>
                <c:pt idx="83">
                  <c:v>0.23629310240766313</c:v>
                </c:pt>
                <c:pt idx="84">
                  <c:v>0.2364131959057621</c:v>
                </c:pt>
                <c:pt idx="85">
                  <c:v>0.23653159642557525</c:v>
                </c:pt>
                <c:pt idx="86">
                  <c:v>0.23664833676560973</c:v>
                </c:pt>
                <c:pt idx="87">
                  <c:v>0.23676344871597585</c:v>
                </c:pt>
                <c:pt idx="88">
                  <c:v>0.23687696310076978</c:v>
                </c:pt>
                <c:pt idx="89">
                  <c:v>0.23698890981821324</c:v>
                </c:pt>
                <c:pt idx="90">
                  <c:v>0.2370993178786884</c:v>
                </c:pt>
              </c:numCache>
            </c:numRef>
          </c:yVal>
          <c:smooth val="0"/>
          <c:extLst>
            <c:ext xmlns:c16="http://schemas.microsoft.com/office/drawing/2014/chart" uri="{C3380CC4-5D6E-409C-BE32-E72D297353CC}">
              <c16:uniqueId val="{00000003-4A99-4358-8C1F-B692889BC327}"/>
            </c:ext>
          </c:extLst>
        </c:ser>
        <c:ser>
          <c:idx val="6"/>
          <c:order val="10"/>
          <c:tx>
            <c:v>Design Point</c:v>
          </c:tx>
          <c:spPr>
            <a:ln w="25400" cap="rnd">
              <a:noFill/>
              <a:round/>
            </a:ln>
            <a:effectLst/>
          </c:spPr>
          <c:marker>
            <c:symbol val="diamond"/>
            <c:size val="7"/>
            <c:spPr>
              <a:solidFill>
                <a:srgbClr val="00B0F0"/>
              </a:solidFill>
              <a:ln w="12700" cap="sq">
                <a:solidFill>
                  <a:schemeClr val="tx1">
                    <a:lumMod val="95000"/>
                    <a:lumOff val="5000"/>
                  </a:schemeClr>
                </a:solidFill>
                <a:round/>
              </a:ln>
              <a:effectLst/>
            </c:spPr>
          </c:marker>
          <c:xVal>
            <c:numRef>
              <c:f>'Matching Diagram'!$D$88</c:f>
              <c:numCache>
                <c:formatCode>General</c:formatCode>
                <c:ptCount val="1"/>
                <c:pt idx="0">
                  <c:v>5370</c:v>
                </c:pt>
              </c:numCache>
            </c:numRef>
          </c:xVal>
          <c:yVal>
            <c:numRef>
              <c:f>'Matching Diagram'!$D$89</c:f>
              <c:numCache>
                <c:formatCode>General</c:formatCode>
                <c:ptCount val="1"/>
                <c:pt idx="0">
                  <c:v>0.28999999999999998</c:v>
                </c:pt>
              </c:numCache>
            </c:numRef>
          </c:yVal>
          <c:smooth val="0"/>
          <c:extLst>
            <c:ext xmlns:c16="http://schemas.microsoft.com/office/drawing/2014/chart" uri="{C3380CC4-5D6E-409C-BE32-E72D297353CC}">
              <c16:uniqueId val="{00000007-8835-4C2B-AE7D-523C147B5079}"/>
            </c:ext>
          </c:extLst>
        </c:ser>
        <c:ser>
          <c:idx val="11"/>
          <c:order val="11"/>
          <c:tx>
            <c:v>A319</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'Matching Diagram'!$AK$79</c:f>
              <c:numCache>
                <c:formatCode>0</c:formatCode>
                <c:ptCount val="1"/>
                <c:pt idx="0">
                  <c:v>6041.2316476345841</c:v>
                </c:pt>
              </c:numCache>
            </c:numRef>
          </c:xVal>
          <c:yVal>
            <c:numRef>
              <c:f>'Matching Diagram'!$AJ$79</c:f>
              <c:numCache>
                <c:formatCode>General</c:formatCode>
                <c:ptCount val="1"/>
                <c:pt idx="0">
                  <c:v>0.3240375073414748</c:v>
                </c:pt>
              </c:numCache>
            </c:numRef>
          </c:yVal>
          <c:smooth val="0"/>
          <c:extLst>
            <c:ext xmlns:c16="http://schemas.microsoft.com/office/drawing/2014/chart" uri="{C3380CC4-5D6E-409C-BE32-E72D297353CC}">
              <c16:uniqueId val="{00000000-8CB9-44C8-A7D9-7CD0E8A5A74F}"/>
            </c:ext>
          </c:extLst>
        </c:ser>
        <c:ser>
          <c:idx val="12"/>
          <c:order val="12"/>
          <c:tx>
            <c:v>717</c:v>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'Matching Diagram'!$AK$80</c:f>
              <c:numCache>
                <c:formatCode>0</c:formatCode>
                <c:ptCount val="1"/>
                <c:pt idx="0">
                  <c:v>5645.9187096774203</c:v>
                </c:pt>
              </c:numCache>
            </c:numRef>
          </c:xVal>
          <c:yVal>
            <c:numRef>
              <c:f>'Matching Diagram'!$AJ$80</c:f>
              <c:numCache>
                <c:formatCode>General</c:formatCode>
                <c:ptCount val="1"/>
                <c:pt idx="0">
                  <c:v>0.32071887345248379</c:v>
                </c:pt>
              </c:numCache>
            </c:numRef>
          </c:yVal>
          <c:smooth val="0"/>
          <c:extLst>
            <c:ext xmlns:c16="http://schemas.microsoft.com/office/drawing/2014/chart" uri="{C3380CC4-5D6E-409C-BE32-E72D297353CC}">
              <c16:uniqueId val="{00000001-8CB9-44C8-A7D9-7CD0E8A5A74F}"/>
            </c:ext>
          </c:extLst>
        </c:ser>
        <c:ser>
          <c:idx val="13"/>
          <c:order val="13"/>
          <c:tx>
            <c:v>MD-87</c:v>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'Matching Diagram'!$AK$81</c:f>
              <c:numCache>
                <c:formatCode>0</c:formatCode>
                <c:ptCount val="1"/>
                <c:pt idx="0">
                  <c:v>5573.2680320569907</c:v>
                </c:pt>
              </c:numCache>
            </c:numRef>
          </c:xVal>
          <c:yVal>
            <c:numRef>
              <c:f>'Matching Diagram'!$AJ$81</c:f>
              <c:numCache>
                <c:formatCode>General</c:formatCode>
                <c:ptCount val="1"/>
                <c:pt idx="0">
                  <c:v>0.29718251799871542</c:v>
                </c:pt>
              </c:numCache>
            </c:numRef>
          </c:yVal>
          <c:smooth val="0"/>
          <c:extLst>
            <c:ext xmlns:c16="http://schemas.microsoft.com/office/drawing/2014/chart" uri="{C3380CC4-5D6E-409C-BE32-E72D297353CC}">
              <c16:uniqueId val="{00000002-8CB9-44C8-A7D9-7CD0E8A5A74F}"/>
            </c:ext>
          </c:extLst>
        </c:ser>
        <c:ser>
          <c:idx val="14"/>
          <c:order val="14"/>
          <c:tx>
            <c:v>VC 10</c:v>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'Matching Diagram'!$AK$82</c:f>
              <c:numCache>
                <c:formatCode>0</c:formatCode>
                <c:ptCount val="1"/>
                <c:pt idx="0">
                  <c:v>5242.9041163141992</c:v>
                </c:pt>
              </c:numCache>
            </c:numRef>
          </c:xVal>
          <c:yVal>
            <c:numRef>
              <c:f>'Matching Diagram'!$AJ$82</c:f>
              <c:numCache>
                <c:formatCode>General</c:formatCode>
                <c:ptCount val="1"/>
                <c:pt idx="0">
                  <c:v>0.26910202849987841</c:v>
                </c:pt>
              </c:numCache>
            </c:numRef>
          </c:yVal>
          <c:smooth val="0"/>
          <c:extLst>
            <c:ext xmlns:c16="http://schemas.microsoft.com/office/drawing/2014/chart" uri="{C3380CC4-5D6E-409C-BE32-E72D297353CC}">
              <c16:uniqueId val="{00000003-8CB9-44C8-A7D9-7CD0E8A5A74F}"/>
            </c:ext>
          </c:extLst>
        </c:ser>
        <c:ser>
          <c:idx val="15"/>
          <c:order val="15"/>
          <c:tx>
            <c:v>TU-154</c:v>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'Matching Diagram'!$AK$83</c:f>
              <c:numCache>
                <c:formatCode>0</c:formatCode>
                <c:ptCount val="1"/>
                <c:pt idx="0">
                  <c:v>4953.5643564356433</c:v>
                </c:pt>
              </c:numCache>
            </c:numRef>
          </c:xVal>
          <c:yVal>
            <c:numRef>
              <c:f>'Matching Diagram'!$AJ$83</c:f>
              <c:numCache>
                <c:formatCode>General</c:formatCode>
                <c:ptCount val="1"/>
                <c:pt idx="0">
                  <c:v>0.30880853870600228</c:v>
                </c:pt>
              </c:numCache>
            </c:numRef>
          </c:yVal>
          <c:smooth val="0"/>
          <c:extLst>
            <c:ext xmlns:c16="http://schemas.microsoft.com/office/drawing/2014/chart" uri="{C3380CC4-5D6E-409C-BE32-E72D297353CC}">
              <c16:uniqueId val="{00000004-8CB9-44C8-A7D9-7CD0E8A5A74F}"/>
            </c:ext>
          </c:extLst>
        </c:ser>
        <c:dLbls>
          <c:showLegendKey val="0"/>
          <c:showVal val="0"/>
          <c:showCatName val="0"/>
          <c:showSerName val="0"/>
          <c:showPercent val="0"/>
          <c:showBubbleSize val="0"/>
        </c:dLbls>
        <c:axId val="1101437999"/>
        <c:axId val="171455071"/>
      </c:scatterChart>
      <c:valAx>
        <c:axId val="1101437999"/>
        <c:scaling>
          <c:orientation val="minMax"/>
          <c:max val="7000"/>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'Matching Diagram'!$B$99</c:f>
              <c:strCache>
                <c:ptCount val="1"/>
                <c:pt idx="0">
                  <c:v>W/S - [N/m2]</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cross"/>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5071"/>
        <c:crosses val="autoZero"/>
        <c:crossBetween val="midCat"/>
        <c:majorUnit val="500"/>
        <c:minorUnit val="250"/>
      </c:valAx>
      <c:valAx>
        <c:axId val="171455071"/>
        <c:scaling>
          <c:orientation val="minMax"/>
          <c:max val="0.7500000000000001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'Matching Diagram'!$E$99</c:f>
              <c:strCache>
                <c:ptCount val="1"/>
                <c:pt idx="0">
                  <c:v>T/W - [N/N]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37999"/>
        <c:crosses val="autoZero"/>
        <c:crossBetween val="midCat"/>
      </c:valAx>
      <c:spPr>
        <a:noFill/>
        <a:ln>
          <a:solidFill>
            <a:schemeClr val="accent1">
              <a:alpha val="96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nl-NL"/>
              <a:t>Class I Loading Diagram</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Class I Loading Diagram</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('CG and Loading Diagram'!$C$25,'CG and Loading Diagram'!$C$28,'CG and Loading Diagram'!$C$29,'CG and Loading Diagram'!$C$30,'CG and Loading Diagram'!$C$25)</c:f>
              <c:numCache>
                <c:formatCode>0.00</c:formatCode>
                <c:ptCount val="5"/>
                <c:pt idx="0">
                  <c:v>20.506884584521625</c:v>
                </c:pt>
                <c:pt idx="1">
                  <c:v>20.296916045455223</c:v>
                </c:pt>
                <c:pt idx="2">
                  <c:v>20.316239588757941</c:v>
                </c:pt>
                <c:pt idx="3">
                  <c:v>20.488099965488818</c:v>
                </c:pt>
                <c:pt idx="4">
                  <c:v>20.506884584521625</c:v>
                </c:pt>
              </c:numCache>
            </c:numRef>
          </c:xVal>
          <c:yVal>
            <c:numRef>
              <c:f>('CG and Loading Diagram'!$B$25,'CG and Loading Diagram'!$B$28,'CG and Loading Diagram'!$B$29,'CG and Loading Diagram'!$B$30,'CG and Loading Diagram'!$B$25)</c:f>
              <c:numCache>
                <c:formatCode>0.000</c:formatCode>
                <c:ptCount val="5"/>
                <c:pt idx="0" formatCode="0.00">
                  <c:v>0.55686839577329494</c:v>
                </c:pt>
                <c:pt idx="1">
                  <c:v>0.84421229586935642</c:v>
                </c:pt>
                <c:pt idx="2">
                  <c:v>1</c:v>
                </c:pt>
                <c:pt idx="3">
                  <c:v>0.71265609990393852</c:v>
                </c:pt>
                <c:pt idx="4" formatCode="0.00">
                  <c:v>0.55686839577329494</c:v>
                </c:pt>
              </c:numCache>
            </c:numRef>
          </c:yVal>
          <c:smooth val="0"/>
          <c:extLst>
            <c:ext xmlns:c16="http://schemas.microsoft.com/office/drawing/2014/chart" uri="{C3380CC4-5D6E-409C-BE32-E72D297353CC}">
              <c16:uniqueId val="{00000006-91CF-47C1-AAC0-22BFF4869801}"/>
            </c:ext>
          </c:extLst>
        </c:ser>
        <c:ser>
          <c:idx val="1"/>
          <c:order val="1"/>
          <c:tx>
            <c:v>MAC</c:v>
          </c:tx>
          <c:spPr>
            <a:ln w="19050" cap="rnd">
              <a:solidFill>
                <a:srgbClr val="FF0000"/>
              </a:solidFill>
              <a:round/>
            </a:ln>
            <a:effectLst/>
          </c:spPr>
          <c:marker>
            <c:symbol val="none"/>
          </c:marker>
          <c:xVal>
            <c:numRef>
              <c:f>('CG and Loading Diagram'!$C$19,'CG and Loading Diagram'!$C$20)</c:f>
              <c:numCache>
                <c:formatCode>0.00</c:formatCode>
                <c:ptCount val="2"/>
                <c:pt idx="0">
                  <c:v>19.991299349622295</c:v>
                </c:pt>
                <c:pt idx="1">
                  <c:v>23.428534248951156</c:v>
                </c:pt>
              </c:numCache>
            </c:numRef>
          </c:xVal>
          <c:yVal>
            <c:numLit>
              <c:formatCode>General</c:formatCode>
              <c:ptCount val="2"/>
              <c:pt idx="0">
                <c:v>1</c:v>
              </c:pt>
              <c:pt idx="1">
                <c:v>1</c:v>
              </c:pt>
            </c:numLit>
          </c:yVal>
          <c:smooth val="0"/>
          <c:extLst>
            <c:ext xmlns:c16="http://schemas.microsoft.com/office/drawing/2014/chart" uri="{C3380CC4-5D6E-409C-BE32-E72D297353CC}">
              <c16:uniqueId val="{00000007-91CF-47C1-AAC0-22BFF4869801}"/>
            </c:ext>
          </c:extLst>
        </c:ser>
        <c:dLbls>
          <c:showLegendKey val="0"/>
          <c:showVal val="0"/>
          <c:showCatName val="0"/>
          <c:showSerName val="0"/>
          <c:showPercent val="0"/>
          <c:showBubbleSize val="0"/>
        </c:dLbls>
        <c:axId val="1675774688"/>
        <c:axId val="1866350208"/>
      </c:scatterChart>
      <c:valAx>
        <c:axId val="1675774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Fuselage station, X (m)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66350208"/>
        <c:crosses val="autoZero"/>
        <c:crossBetween val="midCat"/>
      </c:valAx>
      <c:valAx>
        <c:axId val="18663502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nl-NL"/>
                  <a:t>Mass Fraction,M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5774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203296</xdr:colOff>
      <xdr:row>10</xdr:row>
      <xdr:rowOff>168494</xdr:rowOff>
    </xdr:from>
    <xdr:to>
      <xdr:col>21</xdr:col>
      <xdr:colOff>103593</xdr:colOff>
      <xdr:row>32</xdr:row>
      <xdr:rowOff>42908</xdr:rowOff>
    </xdr:to>
    <xdr:graphicFrame macro="">
      <xdr:nvGraphicFramePr>
        <xdr:cNvPr id="2" name="Chart 1">
          <a:extLst>
            <a:ext uri="{FF2B5EF4-FFF2-40B4-BE49-F238E27FC236}">
              <a16:creationId xmlns:a16="http://schemas.microsoft.com/office/drawing/2014/main" id="{645E72AC-4EF6-4313-84C6-F5A520CD4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203296</xdr:colOff>
      <xdr:row>10</xdr:row>
      <xdr:rowOff>168494</xdr:rowOff>
    </xdr:from>
    <xdr:to>
      <xdr:col>21</xdr:col>
      <xdr:colOff>103593</xdr:colOff>
      <xdr:row>34</xdr:row>
      <xdr:rowOff>42908</xdr:rowOff>
    </xdr:to>
    <xdr:graphicFrame macro="">
      <xdr:nvGraphicFramePr>
        <xdr:cNvPr id="4" name="Chart 1">
          <a:extLst>
            <a:ext uri="{FF2B5EF4-FFF2-40B4-BE49-F238E27FC236}">
              <a16:creationId xmlns:a16="http://schemas.microsoft.com/office/drawing/2014/main" id="{E91A87B1-471A-4178-89C8-3F3E72376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133350</xdr:colOff>
      <xdr:row>51</xdr:row>
      <xdr:rowOff>61912</xdr:rowOff>
    </xdr:from>
    <xdr:to>
      <xdr:col>22</xdr:col>
      <xdr:colOff>438150</xdr:colOff>
      <xdr:row>65</xdr:row>
      <xdr:rowOff>138112</xdr:rowOff>
    </xdr:to>
    <xdr:graphicFrame macro="">
      <xdr:nvGraphicFramePr>
        <xdr:cNvPr id="3" name="Chart 2">
          <a:extLst>
            <a:ext uri="{FF2B5EF4-FFF2-40B4-BE49-F238E27FC236}">
              <a16:creationId xmlns:a16="http://schemas.microsoft.com/office/drawing/2014/main" id="{160C8A98-D807-1C8F-902B-13D243E611F0}"/>
            </a:ext>
            <a:ext uri="{147F2762-F138-4A5C-976F-8EAC2B608ADB}">
              <a16:predDERef xmlns:a16="http://schemas.microsoft.com/office/drawing/2014/main" pred="{E91A87B1-471A-4178-89C8-3F3E72376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604834</xdr:colOff>
      <xdr:row>3</xdr:row>
      <xdr:rowOff>22411</xdr:rowOff>
    </xdr:from>
    <xdr:to>
      <xdr:col>38</xdr:col>
      <xdr:colOff>155713</xdr:colOff>
      <xdr:row>37</xdr:row>
      <xdr:rowOff>33617</xdr:rowOff>
    </xdr:to>
    <xdr:graphicFrame macro="">
      <xdr:nvGraphicFramePr>
        <xdr:cNvPr id="2" name="Wykres 8">
          <a:extLst>
            <a:ext uri="{FF2B5EF4-FFF2-40B4-BE49-F238E27FC236}">
              <a16:creationId xmlns:a16="http://schemas.microsoft.com/office/drawing/2014/main" id="{2DCA3736-CF1E-25C0-854E-8F6E14965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319742</xdr:colOff>
      <xdr:row>3</xdr:row>
      <xdr:rowOff>138093</xdr:rowOff>
    </xdr:from>
    <xdr:to>
      <xdr:col>37</xdr:col>
      <xdr:colOff>256967</xdr:colOff>
      <xdr:row>35</xdr:row>
      <xdr:rowOff>177800</xdr:rowOff>
    </xdr:to>
    <xdr:graphicFrame macro="">
      <xdr:nvGraphicFramePr>
        <xdr:cNvPr id="80" name="Wykres 8">
          <a:extLst>
            <a:ext uri="{FF2B5EF4-FFF2-40B4-BE49-F238E27FC236}">
              <a16:creationId xmlns:a16="http://schemas.microsoft.com/office/drawing/2014/main" id="{FBB49056-3414-411F-BD1E-5E74A52C9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196686</xdr:colOff>
      <xdr:row>3</xdr:row>
      <xdr:rowOff>147851</xdr:rowOff>
    </xdr:from>
    <xdr:to>
      <xdr:col>46</xdr:col>
      <xdr:colOff>206095</xdr:colOff>
      <xdr:row>36</xdr:row>
      <xdr:rowOff>483</xdr:rowOff>
    </xdr:to>
    <xdr:graphicFrame macro="">
      <xdr:nvGraphicFramePr>
        <xdr:cNvPr id="72" name="Wykres 8">
          <a:extLst>
            <a:ext uri="{FF2B5EF4-FFF2-40B4-BE49-F238E27FC236}">
              <a16:creationId xmlns:a16="http://schemas.microsoft.com/office/drawing/2014/main" id="{5261B94E-D533-43D4-A72A-6751B6024601}"/>
            </a:ext>
            <a:ext uri="{147F2762-F138-4A5C-976F-8EAC2B608ADB}">
              <a16:predDERef xmlns:a16="http://schemas.microsoft.com/office/drawing/2014/main" pred="{FBB49056-3414-411F-BD1E-5E74A52C9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137160</xdr:colOff>
      <xdr:row>2</xdr:row>
      <xdr:rowOff>34290</xdr:rowOff>
    </xdr:from>
    <xdr:to>
      <xdr:col>16</xdr:col>
      <xdr:colOff>373380</xdr:colOff>
      <xdr:row>17</xdr:row>
      <xdr:rowOff>19050</xdr:rowOff>
    </xdr:to>
    <xdr:graphicFrame macro="">
      <xdr:nvGraphicFramePr>
        <xdr:cNvPr id="3" name="Wykres 2">
          <a:extLst>
            <a:ext uri="{FF2B5EF4-FFF2-40B4-BE49-F238E27FC236}">
              <a16:creationId xmlns:a16="http://schemas.microsoft.com/office/drawing/2014/main" id="{44FC8DC5-EDF1-0803-DAAC-8520343D8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22860</xdr:colOff>
      <xdr:row>2</xdr:row>
      <xdr:rowOff>22860</xdr:rowOff>
    </xdr:from>
    <xdr:to>
      <xdr:col>24</xdr:col>
      <xdr:colOff>259080</xdr:colOff>
      <xdr:row>17</xdr:row>
      <xdr:rowOff>7620</xdr:rowOff>
    </xdr:to>
    <xdr:graphicFrame macro="">
      <xdr:nvGraphicFramePr>
        <xdr:cNvPr id="4" name="Wykres 3">
          <a:extLst>
            <a:ext uri="{FF2B5EF4-FFF2-40B4-BE49-F238E27FC236}">
              <a16:creationId xmlns:a16="http://schemas.microsoft.com/office/drawing/2014/main" id="{333AA782-89BE-4A84-871C-FD2CE56C2447}"/>
            </a:ext>
            <a:ext uri="{147F2762-F138-4A5C-976F-8EAC2B608ADB}">
              <a16:predDERef xmlns:a16="http://schemas.microsoft.com/office/drawing/2014/main" pred="{44FC8DC5-EDF1-0803-DAAC-8520343D8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137969</xdr:colOff>
      <xdr:row>5</xdr:row>
      <xdr:rowOff>9525</xdr:rowOff>
    </xdr:from>
    <xdr:to>
      <xdr:col>17</xdr:col>
      <xdr:colOff>275129</xdr:colOff>
      <xdr:row>27</xdr:row>
      <xdr:rowOff>139700</xdr:rowOff>
    </xdr:to>
    <xdr:graphicFrame macro="">
      <xdr:nvGraphicFramePr>
        <xdr:cNvPr id="2" name="Wykres 1">
          <a:extLst>
            <a:ext uri="{FF2B5EF4-FFF2-40B4-BE49-F238E27FC236}">
              <a16:creationId xmlns:a16="http://schemas.microsoft.com/office/drawing/2014/main" id="{40D6D278-3AA2-344A-4E84-C2AC7894D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160420</xdr:colOff>
      <xdr:row>29</xdr:row>
      <xdr:rowOff>70185</xdr:rowOff>
    </xdr:from>
    <xdr:to>
      <xdr:col>17</xdr:col>
      <xdr:colOff>297580</xdr:colOff>
      <xdr:row>52</xdr:row>
      <xdr:rowOff>19886</xdr:rowOff>
    </xdr:to>
    <xdr:graphicFrame macro="">
      <xdr:nvGraphicFramePr>
        <xdr:cNvPr id="5" name="Wykres 4">
          <a:extLst>
            <a:ext uri="{FF2B5EF4-FFF2-40B4-BE49-F238E27FC236}">
              <a16:creationId xmlns:a16="http://schemas.microsoft.com/office/drawing/2014/main" id="{86178ACA-DE01-4208-B91B-011C4FE6CACE}"/>
            </a:ext>
            <a:ext uri="{147F2762-F138-4A5C-976F-8EAC2B608ADB}">
              <a16:predDERef xmlns:a16="http://schemas.microsoft.com/office/drawing/2014/main" pred="{40D6D278-3AA2-344A-4E84-C2AC7894D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704850</xdr:colOff>
      <xdr:row>29</xdr:row>
      <xdr:rowOff>76200</xdr:rowOff>
    </xdr:from>
    <xdr:to>
      <xdr:col>12</xdr:col>
      <xdr:colOff>371119</xdr:colOff>
      <xdr:row>33</xdr:row>
      <xdr:rowOff>295275</xdr:rowOff>
    </xdr:to>
    <xdr:pic>
      <xdr:nvPicPr>
        <xdr:cNvPr id="2" name="Picture 1">
          <a:extLst>
            <a:ext uri="{FF2B5EF4-FFF2-40B4-BE49-F238E27FC236}">
              <a16:creationId xmlns:a16="http://schemas.microsoft.com/office/drawing/2014/main" id="{0C2242CB-856E-5B63-BEF3-A73665C998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91300" y="6562725"/>
          <a:ext cx="4504969" cy="2505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545561</xdr:colOff>
      <xdr:row>4</xdr:row>
      <xdr:rowOff>117920</xdr:rowOff>
    </xdr:from>
    <xdr:to>
      <xdr:col>12</xdr:col>
      <xdr:colOff>464599</xdr:colOff>
      <xdr:row>21</xdr:row>
      <xdr:rowOff>126660</xdr:rowOff>
    </xdr:to>
    <xdr:graphicFrame macro="">
      <xdr:nvGraphicFramePr>
        <xdr:cNvPr id="2" name="Chart 1">
          <a:extLst>
            <a:ext uri="{FF2B5EF4-FFF2-40B4-BE49-F238E27FC236}">
              <a16:creationId xmlns:a16="http://schemas.microsoft.com/office/drawing/2014/main" id="{FE0E3E83-1145-1AC3-7FC3-D070769D5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426207</xdr:colOff>
      <xdr:row>103</xdr:row>
      <xdr:rowOff>38896</xdr:rowOff>
    </xdr:from>
    <xdr:to>
      <xdr:col>28</xdr:col>
      <xdr:colOff>312489</xdr:colOff>
      <xdr:row>139</xdr:row>
      <xdr:rowOff>72234</xdr:rowOff>
    </xdr:to>
    <xdr:graphicFrame macro="">
      <xdr:nvGraphicFramePr>
        <xdr:cNvPr id="8" name="Chart 7">
          <a:extLst>
            <a:ext uri="{FF2B5EF4-FFF2-40B4-BE49-F238E27FC236}">
              <a16:creationId xmlns:a16="http://schemas.microsoft.com/office/drawing/2014/main" id="{FD5E8040-B6A9-580C-794D-492100588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46415</xdr:colOff>
      <xdr:row>11</xdr:row>
      <xdr:rowOff>56436</xdr:rowOff>
    </xdr:from>
    <xdr:to>
      <xdr:col>18</xdr:col>
      <xdr:colOff>559300</xdr:colOff>
      <xdr:row>31</xdr:row>
      <xdr:rowOff>117615</xdr:rowOff>
    </xdr:to>
    <xdr:graphicFrame macro="">
      <xdr:nvGraphicFramePr>
        <xdr:cNvPr id="2" name="Chart 1">
          <a:extLst>
            <a:ext uri="{FF2B5EF4-FFF2-40B4-BE49-F238E27FC236}">
              <a16:creationId xmlns:a16="http://schemas.microsoft.com/office/drawing/2014/main" id="{FFDFFA96-899F-05AB-49AC-C601C64CD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hyperlink" Target="https://eng.libretexts.org/Bookshelves/Aerospace_Engineering/Fundamentals_of_Aerospace_Engineering_%28Arnedo%29/03%3A_Aerodynamics/3.04%3A_High-lift_devices/3.4.03%3A_Increase_in_CLmax?utm_source=chatgpt.com" TargetMode="External"/><Relationship Id="rId1" Type="http://schemas.openxmlformats.org/officeDocument/2006/relationships/hyperlink" Target="https://www.scribd.com/document/581297906/STUDY-ABOUT-641-212-AIRFOIL-PROPERTIES-Fillipe-Oliveira"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eng.libretexts.org/Bookshelves/Aerospace_Engineering/Fundamentals_of_Aerospace_Engineering_%28Arnedo%29/03%3A_Aerodynamics/3.04%3A_High-lift_devices/3.4.03%3A_Increase_in_CLmax?utm_source=chatgpt.com" TargetMode="External"/><Relationship Id="rId1" Type="http://schemas.openxmlformats.org/officeDocument/2006/relationships/hyperlink" Target="https://www.scribd.com/document/581297906/STUDY-ABOUT-641-212-AIRFOIL-PROPERTIES-Fillipe-Oliveir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hyperlink" Target="https://manuals.aerosoft.com/files/Vol1_Aircraft%20Operating%20Manual_Part-1.pdf" TargetMode="External"/><Relationship Id="rId1" Type="http://schemas.openxmlformats.org/officeDocument/2006/relationships/hyperlink" Target="https://www.aircraft-commerce.com/wp-content/uploads/aircraft-commerce-docs/Aircraft%20guides/CRJ%20FAMILY%20CF34%20FAMILY/ISSUE66_CRJGUIDE.pdf"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F2D6-462F-43C7-9FFF-70D05DE6D113}">
  <dimension ref="A1:N58"/>
  <sheetViews>
    <sheetView zoomScale="67" zoomScaleNormal="100" workbookViewId="0">
      <selection activeCell="M51" sqref="M51"/>
    </sheetView>
  </sheetViews>
  <sheetFormatPr defaultRowHeight="15"/>
  <cols>
    <col min="1" max="1" width="36.7109375" customWidth="1"/>
    <col min="2" max="2" width="15.28515625" customWidth="1"/>
    <col min="3" max="3" width="14" customWidth="1"/>
    <col min="4" max="4" width="14.7109375" customWidth="1"/>
    <col min="5" max="5" width="15.7109375" customWidth="1"/>
    <col min="6" max="6" width="14.28515625" customWidth="1"/>
  </cols>
  <sheetData>
    <row r="1" spans="1:14">
      <c r="A1" s="7" t="s">
        <v>0</v>
      </c>
      <c r="B1" s="2"/>
      <c r="C1" s="2"/>
      <c r="D1" s="2"/>
      <c r="E1" s="2"/>
      <c r="F1" s="2"/>
      <c r="G1" s="2"/>
      <c r="H1" s="2"/>
      <c r="I1" s="2"/>
      <c r="J1" s="2"/>
      <c r="K1" s="2"/>
      <c r="L1" s="2"/>
      <c r="M1" s="2"/>
      <c r="N1" s="2"/>
    </row>
    <row r="2" spans="1:14">
      <c r="A2" s="2"/>
      <c r="B2" s="2"/>
      <c r="C2" s="7" t="s">
        <v>1</v>
      </c>
      <c r="D2" s="2"/>
      <c r="E2" s="2"/>
      <c r="F2" s="2"/>
      <c r="G2" s="7" t="s">
        <v>1</v>
      </c>
      <c r="H2" s="2"/>
      <c r="I2" s="2"/>
      <c r="J2" s="2"/>
      <c r="K2" s="2"/>
      <c r="L2" s="2"/>
      <c r="M2" s="2"/>
      <c r="N2" s="2"/>
    </row>
    <row r="3" spans="1:14" ht="31.5">
      <c r="A3" s="50" t="s">
        <v>2</v>
      </c>
      <c r="B3" s="136">
        <v>0.15</v>
      </c>
      <c r="C3" s="51" t="s">
        <v>3</v>
      </c>
      <c r="D3" s="52"/>
      <c r="E3" s="51" t="s">
        <v>4</v>
      </c>
      <c r="F3" s="53">
        <v>36.466000000000001</v>
      </c>
      <c r="G3" s="51" t="s">
        <v>5</v>
      </c>
      <c r="H3" s="2"/>
      <c r="I3" s="2"/>
      <c r="J3" s="2"/>
      <c r="K3" s="2"/>
      <c r="L3" s="2"/>
      <c r="M3" s="2"/>
      <c r="N3" s="2"/>
    </row>
    <row r="4" spans="1:14" ht="60">
      <c r="A4" s="52"/>
      <c r="B4" s="134" t="s">
        <v>6</v>
      </c>
      <c r="C4" s="52"/>
      <c r="D4" s="52"/>
      <c r="E4" s="51" t="s">
        <v>7</v>
      </c>
      <c r="F4" s="115">
        <f>'Propultion System 2'!D27</f>
        <v>3.9</v>
      </c>
      <c r="G4" s="51" t="s">
        <v>5</v>
      </c>
      <c r="H4" s="2"/>
      <c r="I4" s="2"/>
      <c r="J4" s="2"/>
      <c r="K4" s="2"/>
      <c r="L4" s="2"/>
      <c r="M4" s="2"/>
      <c r="N4" s="2"/>
    </row>
    <row r="5" spans="1:14">
      <c r="A5" s="52"/>
      <c r="B5" s="52"/>
      <c r="C5" s="52"/>
      <c r="D5" s="52"/>
      <c r="E5" s="51" t="s">
        <v>8</v>
      </c>
      <c r="F5" s="115">
        <f>Wing!B19</f>
        <v>3.4372348993288591</v>
      </c>
      <c r="G5" s="51" t="s">
        <v>5</v>
      </c>
      <c r="H5" s="2"/>
      <c r="I5" s="139"/>
      <c r="J5" s="2"/>
      <c r="K5" s="2"/>
      <c r="L5" s="2"/>
      <c r="M5" s="2"/>
      <c r="N5" s="2"/>
    </row>
    <row r="6" spans="1:14">
      <c r="A6" s="52"/>
      <c r="B6" s="52"/>
      <c r="C6" s="52"/>
      <c r="D6" s="52"/>
      <c r="E6" s="55" t="str">
        <f>IF(OR('Configuration Selection'!$B$13="Under wing",'Configuration Selection'!$B$13="Over wing",'Configuration Selection'!$B$13="Burried in the wing"),"x_hl","X_hl")</f>
        <v>X_hl</v>
      </c>
      <c r="F6" s="116">
        <f>0.4*'Propultion System 2'!D27</f>
        <v>1.56</v>
      </c>
      <c r="G6" s="55" t="s">
        <v>5</v>
      </c>
      <c r="H6" s="2"/>
      <c r="I6" s="2"/>
      <c r="J6" s="2"/>
      <c r="K6" s="2"/>
      <c r="L6" s="2"/>
      <c r="M6" s="2"/>
      <c r="N6" s="2"/>
    </row>
    <row r="7" spans="1:14">
      <c r="A7" s="51"/>
      <c r="B7" s="51"/>
      <c r="C7" s="51"/>
      <c r="D7" s="51"/>
      <c r="E7" s="51"/>
      <c r="F7" s="51"/>
      <c r="G7" s="51"/>
      <c r="H7" s="2"/>
      <c r="I7" s="2"/>
      <c r="J7" s="2"/>
      <c r="K7" s="2"/>
      <c r="L7" s="2"/>
      <c r="M7" s="2"/>
      <c r="N7" s="2"/>
    </row>
    <row r="8" spans="1:14" ht="21" customHeight="1" thickBot="1">
      <c r="A8" s="56"/>
      <c r="B8" s="253" t="s">
        <v>9</v>
      </c>
      <c r="C8" s="253"/>
      <c r="D8" s="253"/>
      <c r="E8" s="253" t="s">
        <v>10</v>
      </c>
      <c r="F8" s="253"/>
      <c r="G8" s="253"/>
      <c r="H8" s="2"/>
      <c r="I8" s="2"/>
      <c r="J8" s="2"/>
      <c r="K8" s="2"/>
      <c r="L8" s="2"/>
      <c r="M8" s="2"/>
      <c r="N8" s="2"/>
    </row>
    <row r="9" spans="1:14" ht="18">
      <c r="A9" s="74" t="s">
        <v>11</v>
      </c>
      <c r="B9" s="76" t="s">
        <v>12</v>
      </c>
      <c r="C9" s="76" t="s">
        <v>13</v>
      </c>
      <c r="D9" s="76" t="s">
        <v>14</v>
      </c>
      <c r="E9" s="76" t="s">
        <v>15</v>
      </c>
      <c r="F9" s="76" t="s">
        <v>16</v>
      </c>
      <c r="G9" s="76" t="s">
        <v>17</v>
      </c>
      <c r="H9" s="2"/>
      <c r="I9" s="2"/>
      <c r="J9" s="2"/>
      <c r="K9" s="2"/>
      <c r="L9" s="2"/>
      <c r="M9" s="2"/>
      <c r="N9" s="2"/>
    </row>
    <row r="10" spans="1:14">
      <c r="A10" s="51" t="s">
        <v>18</v>
      </c>
      <c r="B10" s="63"/>
      <c r="C10" s="63"/>
      <c r="D10" s="63"/>
      <c r="E10" s="106">
        <f>B48</f>
        <v>0.19700000000000001</v>
      </c>
      <c r="F10" s="180">
        <v>1.5</v>
      </c>
      <c r="G10" s="119">
        <f>E10*F10</f>
        <v>0.29549999999999998</v>
      </c>
      <c r="H10" s="2"/>
      <c r="I10" s="2"/>
      <c r="J10" s="2"/>
      <c r="K10" s="2"/>
      <c r="L10" s="2"/>
      <c r="M10" s="2"/>
      <c r="N10" s="2"/>
    </row>
    <row r="11" spans="1:14">
      <c r="A11" s="51" t="s">
        <v>19</v>
      </c>
      <c r="B11" s="119">
        <f>B49+B50</f>
        <v>4.2999999999999997E-2</v>
      </c>
      <c r="C11" s="61">
        <v>35.5</v>
      </c>
      <c r="D11" s="118">
        <f>B11*C11</f>
        <v>1.5265</v>
      </c>
      <c r="E11" s="63"/>
      <c r="F11" s="63"/>
      <c r="G11" s="63"/>
      <c r="H11" s="2"/>
      <c r="I11" s="2"/>
      <c r="J11" s="2"/>
      <c r="K11" s="2"/>
      <c r="L11" s="2"/>
      <c r="M11" s="2"/>
      <c r="N11" s="2"/>
    </row>
    <row r="12" spans="1:14">
      <c r="A12" s="51" t="s">
        <v>20</v>
      </c>
      <c r="B12" s="119">
        <f>B51</f>
        <v>0.35</v>
      </c>
      <c r="C12" s="61">
        <v>18.23</v>
      </c>
      <c r="D12" s="118">
        <f t="shared" ref="D12:D16" si="0">B12*C12</f>
        <v>6.3804999999999996</v>
      </c>
      <c r="E12" s="63"/>
      <c r="F12" s="63"/>
      <c r="G12" s="63"/>
      <c r="H12" s="2"/>
      <c r="I12" s="2"/>
      <c r="J12" s="2"/>
      <c r="K12" s="2"/>
      <c r="L12" s="2"/>
      <c r="M12" s="2"/>
      <c r="N12" s="2"/>
    </row>
    <row r="13" spans="1:14">
      <c r="A13" t="s">
        <v>21</v>
      </c>
      <c r="E13" s="129">
        <f>B52</f>
        <v>5.8000000000000003E-2</v>
      </c>
      <c r="F13" s="182">
        <v>1.7</v>
      </c>
      <c r="G13" s="118">
        <f>E13*F13</f>
        <v>9.8600000000000007E-2</v>
      </c>
      <c r="I13" s="2"/>
      <c r="J13" s="2"/>
      <c r="K13" s="2"/>
      <c r="L13" s="2"/>
      <c r="M13" s="2"/>
      <c r="N13" s="2"/>
    </row>
    <row r="14" spans="1:14">
      <c r="A14" s="51" t="s">
        <v>22</v>
      </c>
      <c r="B14" s="119">
        <f>B54</f>
        <v>0.13300000000000001</v>
      </c>
      <c r="C14" s="118">
        <f>28.6+F6</f>
        <v>30.16</v>
      </c>
      <c r="D14" s="118">
        <f t="shared" si="0"/>
        <v>4.0112800000000002</v>
      </c>
      <c r="E14" s="63"/>
      <c r="F14" s="63"/>
      <c r="G14" s="63"/>
      <c r="H14" s="2"/>
      <c r="I14" s="2"/>
      <c r="J14" s="2"/>
      <c r="K14" s="2"/>
      <c r="L14" s="2"/>
      <c r="M14" s="2"/>
      <c r="N14" s="2"/>
    </row>
    <row r="15" spans="1:14">
      <c r="A15" t="s">
        <v>23</v>
      </c>
      <c r="B15" s="129">
        <v>8.0000000000000002E-3</v>
      </c>
      <c r="C15" s="127">
        <f>21.63-18.8</f>
        <v>2.8299999999999983</v>
      </c>
      <c r="D15" s="130">
        <f t="shared" si="0"/>
        <v>2.2639999999999987E-2</v>
      </c>
      <c r="E15" s="128"/>
      <c r="F15" s="128"/>
      <c r="G15" s="128"/>
      <c r="H15" s="2"/>
      <c r="I15" s="2"/>
      <c r="J15" s="2"/>
      <c r="K15" s="2"/>
      <c r="L15" s="2"/>
      <c r="M15" s="2"/>
      <c r="N15" s="2"/>
    </row>
    <row r="16" spans="1:14" ht="15.75" thickBot="1">
      <c r="A16" t="s">
        <v>24</v>
      </c>
      <c r="B16" s="129">
        <v>2.3E-2</v>
      </c>
      <c r="C16" s="70">
        <v>2.4700000000000002</v>
      </c>
      <c r="D16" s="130">
        <f t="shared" si="0"/>
        <v>5.6810000000000006E-2</v>
      </c>
      <c r="E16" s="71"/>
      <c r="F16" s="71"/>
      <c r="G16" s="71"/>
      <c r="H16" s="2"/>
      <c r="I16" s="2"/>
      <c r="J16" s="2"/>
      <c r="K16" s="2"/>
      <c r="L16" s="2"/>
      <c r="M16" s="2"/>
      <c r="N16" s="2"/>
    </row>
    <row r="17" spans="1:14">
      <c r="A17" s="75" t="s">
        <v>25</v>
      </c>
      <c r="B17" s="68">
        <f>SUM(B10:B16)</f>
        <v>0.55700000000000005</v>
      </c>
      <c r="C17" s="120">
        <f>SUM(D10:D16)/B17</f>
        <v>21.539910233393172</v>
      </c>
      <c r="D17" s="67">
        <f>B17*C17</f>
        <v>11.997729999999999</v>
      </c>
      <c r="E17" s="131">
        <f>SUM(E10:E16)</f>
        <v>0.255</v>
      </c>
      <c r="F17" s="68">
        <f>SUM(G10:G16)/E17</f>
        <v>1.5454901960784313</v>
      </c>
      <c r="G17" s="67">
        <f>E17*(F17+C20)</f>
        <v>5.3946500000000004</v>
      </c>
      <c r="H17" s="2"/>
      <c r="I17" s="2"/>
      <c r="J17" s="2"/>
      <c r="K17" s="2"/>
      <c r="L17" s="2"/>
      <c r="M17" s="2"/>
      <c r="N17" s="2"/>
    </row>
    <row r="18" spans="1:14">
      <c r="A18" s="51"/>
      <c r="B18" s="53"/>
      <c r="C18" s="53"/>
      <c r="D18" s="52"/>
      <c r="E18" s="53"/>
      <c r="F18" s="53"/>
      <c r="G18" s="52"/>
      <c r="H18" s="2"/>
      <c r="I18" s="2"/>
      <c r="J18" s="2"/>
      <c r="K18" s="2"/>
      <c r="L18" s="2"/>
      <c r="M18" s="2"/>
      <c r="N18" s="2"/>
    </row>
    <row r="19" spans="1:14">
      <c r="A19" s="51"/>
      <c r="B19" s="53"/>
      <c r="C19" s="53"/>
      <c r="D19" s="65" t="s">
        <v>1</v>
      </c>
      <c r="E19" s="53"/>
      <c r="F19" s="53"/>
      <c r="G19" s="52"/>
      <c r="H19" s="2"/>
      <c r="I19" s="2"/>
      <c r="J19" s="2"/>
      <c r="K19" s="2"/>
      <c r="L19" s="2"/>
      <c r="M19" s="2"/>
      <c r="N19" s="2"/>
    </row>
    <row r="20" spans="1:14" ht="45.75">
      <c r="A20" s="52" t="s">
        <v>26</v>
      </c>
      <c r="B20" s="50" t="s">
        <v>27</v>
      </c>
      <c r="C20" s="172">
        <v>19.61</v>
      </c>
      <c r="D20" s="2" t="s">
        <v>5</v>
      </c>
      <c r="E20" s="23"/>
      <c r="F20" s="52"/>
      <c r="G20" s="52" t="s">
        <v>28</v>
      </c>
      <c r="H20" s="2"/>
      <c r="I20" s="2">
        <f>C20/'CRJ-1000 Loading Diagram'!C3</f>
        <v>0.53623188405797095</v>
      </c>
      <c r="J20" s="2"/>
      <c r="K20" s="2"/>
      <c r="L20" s="2"/>
      <c r="M20" s="2"/>
      <c r="N20" s="2"/>
    </row>
    <row r="21" spans="1:14" ht="18">
      <c r="A21" s="2"/>
      <c r="B21" s="52" t="s">
        <v>29</v>
      </c>
      <c r="C21" s="121">
        <f>C20+F5</f>
        <v>23.04723489932886</v>
      </c>
      <c r="D21" s="52" t="s">
        <v>5</v>
      </c>
      <c r="E21" s="52"/>
      <c r="F21" s="52"/>
      <c r="G21" s="65"/>
      <c r="H21" s="2"/>
      <c r="I21" s="2"/>
      <c r="J21" s="2"/>
      <c r="K21" s="2"/>
      <c r="L21" s="2"/>
      <c r="M21" s="2"/>
      <c r="N21" s="2"/>
    </row>
    <row r="22" spans="1:14">
      <c r="A22" s="57" t="s">
        <v>30</v>
      </c>
      <c r="B22" s="2"/>
      <c r="C22" s="2"/>
      <c r="D22" s="2"/>
      <c r="E22" s="2"/>
      <c r="F22" s="2"/>
      <c r="G22" s="2"/>
      <c r="H22" s="2"/>
      <c r="I22" s="2"/>
      <c r="J22" s="2"/>
      <c r="K22" s="2"/>
      <c r="L22" s="2"/>
      <c r="M22" s="2"/>
      <c r="N22" s="2"/>
    </row>
    <row r="23" spans="1:14">
      <c r="A23" s="58" t="s">
        <v>31</v>
      </c>
      <c r="B23" s="52"/>
      <c r="C23" s="59"/>
      <c r="D23" s="2"/>
      <c r="E23" s="2"/>
      <c r="F23" s="2"/>
      <c r="G23" s="2"/>
      <c r="H23" s="2"/>
      <c r="I23" s="2"/>
      <c r="J23" s="2"/>
      <c r="K23" s="2"/>
      <c r="L23" s="2"/>
      <c r="M23" s="2"/>
      <c r="N23" s="2"/>
    </row>
    <row r="24" spans="1:14">
      <c r="A24" s="2"/>
      <c r="B24" s="2"/>
      <c r="C24" s="2"/>
      <c r="D24" s="2"/>
      <c r="E24" s="2"/>
      <c r="F24" s="2"/>
      <c r="G24" s="2"/>
      <c r="H24" s="2"/>
      <c r="I24" s="2"/>
      <c r="J24" s="2"/>
      <c r="K24" s="2"/>
      <c r="L24" s="2"/>
      <c r="M24" s="2"/>
      <c r="N24" s="2"/>
    </row>
    <row r="25" spans="1:14" ht="18">
      <c r="A25" s="73" t="s">
        <v>11</v>
      </c>
      <c r="B25" s="72" t="s">
        <v>12</v>
      </c>
      <c r="C25" s="72" t="s">
        <v>13</v>
      </c>
      <c r="D25" s="72" t="s">
        <v>14</v>
      </c>
      <c r="E25" s="6"/>
      <c r="F25" s="2"/>
      <c r="G25" s="2"/>
      <c r="H25" s="2"/>
      <c r="I25" s="2"/>
      <c r="J25" s="2"/>
      <c r="K25" s="2"/>
      <c r="L25" s="2"/>
      <c r="M25" s="2"/>
      <c r="N25" s="2"/>
    </row>
    <row r="26" spans="1:14">
      <c r="A26" s="55" t="s">
        <v>32</v>
      </c>
      <c r="B26" s="116">
        <f>'Mass Estimation'!B12</f>
        <v>0.55686839577329494</v>
      </c>
      <c r="C26" s="181">
        <v>21.47</v>
      </c>
      <c r="D26" s="122">
        <f>B26*C26</f>
        <v>11.955964457252643</v>
      </c>
      <c r="E26" s="6">
        <f>(D17+G17)/(B17+E17)</f>
        <v>21.419187192118223</v>
      </c>
      <c r="F26" s="2"/>
      <c r="G26" s="2"/>
      <c r="H26" s="2"/>
      <c r="I26" s="2"/>
      <c r="J26" s="2"/>
      <c r="K26" s="2"/>
      <c r="L26" s="2"/>
      <c r="M26" s="2"/>
      <c r="N26" s="2"/>
    </row>
    <row r="27" spans="1:14">
      <c r="A27" s="55" t="s">
        <v>33</v>
      </c>
      <c r="B27" s="116">
        <f>'Mass Estimation'!B24</f>
        <v>0.28734390009606148</v>
      </c>
      <c r="C27" s="170">
        <v>18.940000000000001</v>
      </c>
      <c r="D27" s="116">
        <f t="shared" ref="D27:D28" si="1">B27*C27</f>
        <v>5.4422934678194048</v>
      </c>
      <c r="E27" s="6" t="s">
        <v>34</v>
      </c>
      <c r="F27" s="2"/>
      <c r="G27" s="2"/>
      <c r="H27" s="2"/>
      <c r="I27" s="2"/>
      <c r="J27" s="2"/>
      <c r="K27" s="2"/>
      <c r="L27" s="2"/>
      <c r="M27" s="2"/>
      <c r="N27" s="2"/>
    </row>
    <row r="28" spans="1:14" ht="120.75" thickBot="1">
      <c r="A28" s="174" t="s">
        <v>35</v>
      </c>
      <c r="B28" s="117">
        <f>'Mass Estimation'!B5</f>
        <v>0.15578770413064361</v>
      </c>
      <c r="C28" s="173">
        <f>C20+F5/4</f>
        <v>20.469308724832214</v>
      </c>
      <c r="D28" s="116">
        <f t="shared" si="1"/>
        <v>3.1888666113829625</v>
      </c>
      <c r="E28" s="52" t="s">
        <v>36</v>
      </c>
      <c r="F28" s="2"/>
      <c r="G28" s="2"/>
      <c r="H28" s="2"/>
      <c r="I28" s="2"/>
      <c r="J28" s="2"/>
      <c r="K28" s="2"/>
      <c r="L28" s="2"/>
      <c r="M28" s="2"/>
      <c r="N28" s="2"/>
    </row>
    <row r="29" spans="1:14">
      <c r="A29" s="55" t="s">
        <v>37</v>
      </c>
      <c r="B29" s="123">
        <f>B26+B27</f>
        <v>0.84421229586935642</v>
      </c>
      <c r="C29" s="125">
        <f>((D26+D27)/(B29))</f>
        <v>20.608865815150914</v>
      </c>
      <c r="D29" s="67"/>
      <c r="E29" s="6"/>
      <c r="F29" s="2"/>
      <c r="G29" s="2"/>
      <c r="H29" s="2"/>
      <c r="I29" s="2"/>
      <c r="J29" s="2"/>
      <c r="K29" s="2"/>
      <c r="L29" s="2"/>
      <c r="M29" s="2"/>
      <c r="N29" s="2"/>
    </row>
    <row r="30" spans="1:14">
      <c r="A30" s="55" t="s">
        <v>38</v>
      </c>
      <c r="B30" s="123">
        <f>B26+B27+B28</f>
        <v>1</v>
      </c>
      <c r="C30" s="116">
        <f>((D26+D27+D28)/(B30))</f>
        <v>20.587124536455011</v>
      </c>
      <c r="D30" s="63"/>
      <c r="E30" s="6"/>
      <c r="F30" s="2"/>
      <c r="G30" s="2"/>
      <c r="H30" s="2"/>
      <c r="I30" s="2"/>
      <c r="J30" s="2"/>
      <c r="K30" s="2"/>
      <c r="L30" s="2"/>
      <c r="M30" s="2"/>
      <c r="N30" s="2"/>
    </row>
    <row r="31" spans="1:14">
      <c r="A31" s="60" t="s">
        <v>39</v>
      </c>
      <c r="B31" s="124">
        <f>B26+B28</f>
        <v>0.71265609990393852</v>
      </c>
      <c r="C31" s="116">
        <f>((D26+D28)/(B31))</f>
        <v>21.251247369772084</v>
      </c>
      <c r="D31" s="64"/>
      <c r="E31" s="6"/>
      <c r="F31" s="2"/>
      <c r="G31" s="2"/>
      <c r="H31" s="2"/>
      <c r="I31" s="2"/>
      <c r="J31" s="2"/>
      <c r="K31" s="2"/>
      <c r="L31" s="2"/>
      <c r="M31" s="2"/>
      <c r="N31" s="2"/>
    </row>
    <row r="32" spans="1:14">
      <c r="A32" s="6"/>
      <c r="B32" s="6"/>
      <c r="C32" s="6"/>
      <c r="D32" s="6"/>
      <c r="E32" s="6"/>
      <c r="F32" s="2"/>
      <c r="G32" s="2" t="s">
        <v>40</v>
      </c>
      <c r="H32" s="2"/>
      <c r="I32" s="2"/>
      <c r="J32" s="2"/>
      <c r="K32" s="2"/>
      <c r="L32" s="2"/>
      <c r="M32" s="2"/>
      <c r="N32" s="2"/>
    </row>
    <row r="33" spans="1:14">
      <c r="A33" s="6"/>
      <c r="B33" s="6"/>
      <c r="C33" s="13" t="s">
        <v>1</v>
      </c>
      <c r="D33" s="6"/>
      <c r="E33" s="6"/>
      <c r="F33" s="2"/>
      <c r="G33" s="2"/>
      <c r="H33" s="2"/>
      <c r="I33" s="2"/>
      <c r="J33" s="2"/>
      <c r="K33" s="2"/>
      <c r="L33" s="2"/>
      <c r="M33" s="2"/>
      <c r="N33" s="2"/>
    </row>
    <row r="34" spans="1:14">
      <c r="A34" s="55" t="s">
        <v>41</v>
      </c>
      <c r="B34" s="121">
        <f>MIN(C29:C31)</f>
        <v>20.587124536455011</v>
      </c>
      <c r="C34" s="6" t="s">
        <v>5</v>
      </c>
      <c r="D34" s="6"/>
      <c r="E34" s="6"/>
      <c r="F34" s="2"/>
      <c r="G34" s="2"/>
      <c r="H34" s="2"/>
      <c r="I34" s="2"/>
      <c r="J34" s="2"/>
      <c r="K34" s="2"/>
      <c r="L34" s="2"/>
      <c r="M34" s="2"/>
      <c r="N34" s="2"/>
    </row>
    <row r="35" spans="1:14">
      <c r="A35" s="55" t="s">
        <v>42</v>
      </c>
      <c r="B35" s="121">
        <f>MAX(C29:C31)</f>
        <v>21.251247369772084</v>
      </c>
      <c r="C35" s="6" t="s">
        <v>5</v>
      </c>
      <c r="D35" s="6"/>
      <c r="E35" s="6"/>
      <c r="F35" s="2"/>
      <c r="G35" s="2"/>
      <c r="H35" s="2"/>
      <c r="I35" s="2"/>
      <c r="J35" s="2"/>
      <c r="K35" s="2"/>
      <c r="L35" s="2"/>
      <c r="M35" s="2"/>
      <c r="N35" s="2"/>
    </row>
    <row r="36" spans="1:14">
      <c r="A36" s="6"/>
      <c r="B36" s="6"/>
      <c r="C36" s="6"/>
      <c r="D36" s="6"/>
      <c r="E36" s="6"/>
      <c r="F36" s="2"/>
      <c r="G36" s="2"/>
      <c r="H36" s="2"/>
      <c r="I36" s="2"/>
      <c r="J36" s="2"/>
      <c r="K36" s="2"/>
      <c r="L36" s="2"/>
      <c r="M36" s="2"/>
      <c r="N36" s="2"/>
    </row>
    <row r="37" spans="1:14">
      <c r="A37" s="57" t="s">
        <v>43</v>
      </c>
      <c r="B37" s="2"/>
      <c r="C37" s="2"/>
      <c r="D37" s="2"/>
      <c r="E37" s="2"/>
      <c r="F37" s="2"/>
      <c r="G37" s="2"/>
      <c r="H37" s="2"/>
      <c r="I37" s="2"/>
      <c r="J37" s="2"/>
      <c r="K37" s="2"/>
      <c r="L37" s="2"/>
      <c r="M37" s="2"/>
      <c r="N37" s="2"/>
    </row>
    <row r="38" spans="1:14">
      <c r="A38" s="2"/>
      <c r="B38" s="2"/>
      <c r="C38" s="2"/>
      <c r="D38" s="2"/>
      <c r="E38" s="2"/>
      <c r="F38" s="2"/>
      <c r="G38" s="2"/>
      <c r="H38" s="2"/>
      <c r="I38" s="2"/>
      <c r="J38" s="2"/>
      <c r="K38" s="2"/>
      <c r="L38" s="2"/>
      <c r="M38" s="2"/>
      <c r="N38" s="2"/>
    </row>
    <row r="39" spans="1:14">
      <c r="A39" s="7" t="s">
        <v>44</v>
      </c>
      <c r="B39" s="2"/>
      <c r="C39" s="2"/>
      <c r="D39" s="2"/>
      <c r="E39" s="2"/>
      <c r="F39" s="2"/>
      <c r="G39" s="2"/>
      <c r="H39" s="2"/>
      <c r="I39" s="2"/>
      <c r="J39" s="2"/>
      <c r="K39" s="2"/>
      <c r="L39" s="2"/>
      <c r="M39" s="2"/>
      <c r="N39" s="2"/>
    </row>
    <row r="40" spans="1:14">
      <c r="A40" s="37" t="s">
        <v>45</v>
      </c>
      <c r="B40" s="2"/>
      <c r="C40" s="2"/>
      <c r="D40" s="2"/>
      <c r="E40" s="2"/>
      <c r="F40" s="2"/>
      <c r="G40" s="2"/>
      <c r="H40" s="2"/>
      <c r="I40" s="2"/>
      <c r="J40" s="2"/>
      <c r="K40" s="2"/>
      <c r="L40" s="2"/>
      <c r="M40" s="2"/>
      <c r="N40" s="2"/>
    </row>
    <row r="41" spans="1:14">
      <c r="A41" s="37" t="s">
        <v>46</v>
      </c>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7" t="s">
        <v>47</v>
      </c>
      <c r="B43" s="2"/>
      <c r="C43" s="2"/>
      <c r="D43" s="2"/>
      <c r="E43" s="2"/>
      <c r="F43" s="2"/>
      <c r="G43" s="2"/>
      <c r="H43" s="2"/>
      <c r="I43" s="2"/>
      <c r="J43" s="2"/>
      <c r="K43" s="2"/>
      <c r="L43" s="2"/>
      <c r="M43" s="2"/>
      <c r="N43" s="2"/>
    </row>
    <row r="44" spans="1:14">
      <c r="A44" s="2"/>
      <c r="B44" s="2"/>
      <c r="C44" s="2"/>
      <c r="D44" s="2"/>
      <c r="E44" s="2"/>
      <c r="F44" s="2"/>
      <c r="G44" s="2"/>
      <c r="H44" s="2"/>
      <c r="I44" s="2"/>
      <c r="J44" s="2"/>
      <c r="K44" s="2"/>
      <c r="L44" s="2"/>
      <c r="M44" s="2"/>
      <c r="N44" s="2"/>
    </row>
    <row r="47" spans="1:14">
      <c r="B47" t="s">
        <v>48</v>
      </c>
      <c r="C47" t="s">
        <v>49</v>
      </c>
    </row>
    <row r="48" spans="1:14">
      <c r="A48" t="s">
        <v>50</v>
      </c>
      <c r="B48" s="106">
        <v>0.19700000000000001</v>
      </c>
      <c r="C48">
        <f>B48*'Mass Estimation'!$B$16</f>
        <v>4568.0360000000001</v>
      </c>
    </row>
    <row r="49" spans="1:3">
      <c r="A49" t="s">
        <v>51</v>
      </c>
      <c r="B49" s="106">
        <v>2.5000000000000001E-2</v>
      </c>
      <c r="C49">
        <f>B49*'Mass Estimation'!$B$16</f>
        <v>579.70000000000005</v>
      </c>
    </row>
    <row r="50" spans="1:3">
      <c r="A50" t="s">
        <v>52</v>
      </c>
      <c r="B50" s="106">
        <v>1.7999999999999999E-2</v>
      </c>
      <c r="C50">
        <f>B50*'Mass Estimation'!$B$16</f>
        <v>417.38399999999996</v>
      </c>
    </row>
    <row r="51" spans="1:3">
      <c r="A51" t="s">
        <v>53</v>
      </c>
      <c r="B51" s="106">
        <v>0.35</v>
      </c>
      <c r="C51">
        <f>B51*'Mass Estimation'!$B$16</f>
        <v>8115.7999999999993</v>
      </c>
    </row>
    <row r="52" spans="1:3">
      <c r="A52" t="s">
        <v>21</v>
      </c>
      <c r="B52" s="106">
        <v>5.8000000000000003E-2</v>
      </c>
      <c r="C52">
        <f>B52*'Mass Estimation'!$B$16</f>
        <v>1344.904</v>
      </c>
    </row>
    <row r="53" spans="1:3">
      <c r="A53" t="s">
        <v>23</v>
      </c>
      <c r="B53" s="106">
        <v>8.0000000000000002E-3</v>
      </c>
      <c r="C53">
        <f>B53*'Mass Estimation'!$B$16</f>
        <v>185.50399999999999</v>
      </c>
    </row>
    <row r="54" spans="1:3">
      <c r="A54" t="s">
        <v>54</v>
      </c>
      <c r="B54" s="106">
        <v>0.13300000000000001</v>
      </c>
      <c r="C54">
        <f>B54*'Mass Estimation'!$B$16</f>
        <v>3084.0040000000004</v>
      </c>
    </row>
    <row r="55" spans="1:3">
      <c r="A55" t="s">
        <v>24</v>
      </c>
      <c r="B55" s="106">
        <v>2.3E-2</v>
      </c>
      <c r="C55">
        <f>B55*'Mass Estimation'!$B$16</f>
        <v>533.32399999999996</v>
      </c>
    </row>
    <row r="56" spans="1:3">
      <c r="A56" t="s">
        <v>55</v>
      </c>
      <c r="B56" s="106">
        <f>1-SUM(B48:B55)</f>
        <v>0.18799999999999994</v>
      </c>
      <c r="C56">
        <f>B56*'Mass Estimation'!$B$16</f>
        <v>4359.3439999999991</v>
      </c>
    </row>
    <row r="58" spans="1:3">
      <c r="B58" s="106">
        <f>SUM(B48:B55)</f>
        <v>0.81200000000000006</v>
      </c>
      <c r="C58">
        <f>SUM(C48:C56)</f>
        <v>23188</v>
      </c>
    </row>
  </sheetData>
  <mergeCells count="2">
    <mergeCell ref="B8:D8"/>
    <mergeCell ref="E8:G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EA0A-30CA-4567-AC1F-089C0DF75B94}">
  <dimension ref="A1:P79"/>
  <sheetViews>
    <sheetView topLeftCell="A4" zoomScale="85" zoomScaleNormal="85" workbookViewId="0">
      <selection activeCell="C26" sqref="C26"/>
    </sheetView>
  </sheetViews>
  <sheetFormatPr defaultRowHeight="15"/>
  <cols>
    <col min="1" max="1" width="36.7109375" customWidth="1"/>
    <col min="2" max="2" width="15.28515625" customWidth="1"/>
    <col min="3" max="3" width="14" customWidth="1"/>
    <col min="4" max="4" width="14.7109375" customWidth="1"/>
    <col min="5" max="5" width="15.7109375" customWidth="1"/>
    <col min="6" max="6" width="14.28515625" customWidth="1"/>
    <col min="8" max="9" width="9.140625" bestFit="1" customWidth="1"/>
  </cols>
  <sheetData>
    <row r="1" spans="1:14">
      <c r="A1" s="7" t="s">
        <v>0</v>
      </c>
      <c r="B1" s="2"/>
      <c r="C1" s="2"/>
      <c r="D1" s="2"/>
      <c r="E1" s="2"/>
      <c r="F1" s="2"/>
      <c r="G1" s="2"/>
      <c r="H1" s="2"/>
      <c r="I1" s="2"/>
      <c r="J1" s="2"/>
      <c r="K1" s="2"/>
      <c r="L1" s="2"/>
      <c r="M1" s="2"/>
      <c r="N1" s="2"/>
    </row>
    <row r="2" spans="1:14">
      <c r="A2" s="2"/>
      <c r="B2" s="2"/>
      <c r="C2" s="7" t="s">
        <v>1</v>
      </c>
      <c r="D2" s="2"/>
      <c r="E2" s="2"/>
      <c r="F2" s="2"/>
      <c r="G2" s="7" t="s">
        <v>1</v>
      </c>
      <c r="H2" s="2"/>
      <c r="I2" s="2"/>
      <c r="J2" s="2"/>
      <c r="K2" s="2"/>
      <c r="L2" s="2"/>
      <c r="M2" s="2"/>
      <c r="N2" s="2"/>
    </row>
    <row r="3" spans="1:14">
      <c r="A3" s="50"/>
      <c r="B3" s="252"/>
      <c r="C3" s="51"/>
      <c r="D3" s="52"/>
      <c r="E3" s="51" t="s">
        <v>4</v>
      </c>
      <c r="F3" s="53">
        <v>36.466000000000001</v>
      </c>
      <c r="G3" s="51" t="s">
        <v>5</v>
      </c>
      <c r="H3" s="2"/>
      <c r="I3" s="2"/>
      <c r="J3" s="2"/>
      <c r="K3" s="2"/>
      <c r="L3" s="2"/>
      <c r="M3" s="2"/>
      <c r="N3" s="2"/>
    </row>
    <row r="4" spans="1:14">
      <c r="A4" s="52"/>
      <c r="B4" s="251"/>
      <c r="C4" s="52"/>
      <c r="D4" s="52"/>
      <c r="E4" s="51" t="s">
        <v>7</v>
      </c>
      <c r="F4" s="115">
        <f>'Propultion System 2'!D27</f>
        <v>3.9</v>
      </c>
      <c r="G4" s="51" t="s">
        <v>5</v>
      </c>
      <c r="H4" s="2"/>
      <c r="I4" s="2"/>
      <c r="J4" s="2"/>
      <c r="K4" s="2"/>
      <c r="L4" s="2"/>
      <c r="M4" s="2"/>
      <c r="N4" s="2"/>
    </row>
    <row r="5" spans="1:14">
      <c r="A5" s="52"/>
      <c r="B5" s="52"/>
      <c r="C5" s="52"/>
      <c r="D5" s="52"/>
      <c r="E5" s="51" t="s">
        <v>8</v>
      </c>
      <c r="F5" s="115">
        <f>Wing!B19</f>
        <v>3.4372348993288591</v>
      </c>
      <c r="G5" s="51" t="s">
        <v>5</v>
      </c>
      <c r="H5" s="2"/>
      <c r="I5" s="139"/>
      <c r="J5" s="2"/>
      <c r="K5" s="2"/>
      <c r="L5" s="2"/>
      <c r="M5" s="2"/>
      <c r="N5" s="2"/>
    </row>
    <row r="6" spans="1:14">
      <c r="A6" s="52"/>
      <c r="B6" s="52"/>
      <c r="C6" s="52"/>
      <c r="D6" s="52"/>
      <c r="E6" s="55" t="str">
        <f>IF(OR('Configuration Selection'!$B$13="Under wing",'Configuration Selection'!$B$13="Over wing",'Configuration Selection'!$B$13="Burried in the wing"),"x_hl","X_hl")</f>
        <v>X_hl</v>
      </c>
      <c r="F6" s="116">
        <f>0.4*'Propultion System 2'!D27</f>
        <v>1.56</v>
      </c>
      <c r="G6" s="55" t="s">
        <v>5</v>
      </c>
      <c r="H6" s="2"/>
      <c r="I6" s="2"/>
      <c r="J6" s="2"/>
      <c r="K6" s="2"/>
      <c r="L6" s="2"/>
      <c r="M6" s="2"/>
      <c r="N6" s="2"/>
    </row>
    <row r="7" spans="1:14">
      <c r="A7" s="51"/>
      <c r="B7" s="51"/>
      <c r="C7" s="51"/>
      <c r="D7" s="51"/>
      <c r="E7" s="51"/>
      <c r="F7" s="51"/>
      <c r="G7" s="51"/>
      <c r="H7" s="2"/>
      <c r="I7" s="2"/>
      <c r="J7" s="2"/>
      <c r="K7" s="2"/>
      <c r="L7" s="2"/>
      <c r="M7" s="2"/>
      <c r="N7" s="2"/>
    </row>
    <row r="8" spans="1:14" ht="21" customHeight="1" thickBot="1">
      <c r="A8" s="56"/>
      <c r="B8" s="253" t="s">
        <v>9</v>
      </c>
      <c r="C8" s="253"/>
      <c r="D8" s="253"/>
      <c r="E8" s="253" t="s">
        <v>10</v>
      </c>
      <c r="F8" s="253"/>
      <c r="G8" s="253"/>
      <c r="H8" s="2"/>
      <c r="I8" s="2"/>
      <c r="J8" s="2"/>
      <c r="K8" s="2"/>
      <c r="L8" s="2"/>
      <c r="M8" s="2"/>
      <c r="N8" s="2"/>
    </row>
    <row r="9" spans="1:14" ht="18">
      <c r="A9" s="74" t="s">
        <v>11</v>
      </c>
      <c r="B9" s="76" t="s">
        <v>12</v>
      </c>
      <c r="C9" s="76" t="s">
        <v>13</v>
      </c>
      <c r="D9" s="76" t="s">
        <v>14</v>
      </c>
      <c r="E9" s="76" t="s">
        <v>15</v>
      </c>
      <c r="F9" s="76" t="s">
        <v>16</v>
      </c>
      <c r="G9" s="76" t="s">
        <v>17</v>
      </c>
      <c r="H9" s="2"/>
      <c r="I9" s="2"/>
      <c r="J9" s="2"/>
      <c r="K9" s="2"/>
      <c r="L9" s="2"/>
      <c r="M9" s="2"/>
      <c r="N9" s="2"/>
    </row>
    <row r="10" spans="1:14">
      <c r="A10" s="51" t="s">
        <v>18</v>
      </c>
      <c r="B10" s="63"/>
      <c r="C10" s="63"/>
      <c r="D10" s="63"/>
      <c r="E10" s="106">
        <f>C58</f>
        <v>0.1848300220428325</v>
      </c>
      <c r="F10" s="180">
        <f>cg_loading!F10</f>
        <v>1.5</v>
      </c>
      <c r="G10" s="119">
        <f>E10*F10</f>
        <v>0.27724503306424875</v>
      </c>
      <c r="H10" s="2"/>
      <c r="I10" s="2"/>
      <c r="J10" s="2"/>
      <c r="K10" s="2"/>
      <c r="L10" s="2"/>
      <c r="M10" s="2"/>
      <c r="N10" s="2"/>
    </row>
    <row r="11" spans="1:14">
      <c r="A11" s="51" t="s">
        <v>19</v>
      </c>
      <c r="B11" s="119">
        <f>C59+C60</f>
        <v>4.4333636123399328E-2</v>
      </c>
      <c r="C11" s="61">
        <f>cg_loading!C11</f>
        <v>35.5</v>
      </c>
      <c r="D11" s="118">
        <f>B11*C11</f>
        <v>1.5738440823806761</v>
      </c>
      <c r="E11" s="63"/>
      <c r="F11" s="63"/>
      <c r="G11" s="63"/>
      <c r="H11" s="2"/>
      <c r="I11" s="2"/>
      <c r="J11" s="2"/>
      <c r="K11" s="2"/>
      <c r="L11" s="2"/>
      <c r="M11" s="2"/>
      <c r="N11" s="2"/>
    </row>
    <row r="12" spans="1:14">
      <c r="A12" s="51" t="s">
        <v>20</v>
      </c>
      <c r="B12" s="200">
        <f>C61</f>
        <v>0.33559531530619718</v>
      </c>
      <c r="C12" s="136">
        <f>cg_loading!C12</f>
        <v>18.23</v>
      </c>
      <c r="D12" s="118">
        <f>B12*C12</f>
        <v>6.117902598031975</v>
      </c>
      <c r="E12" s="63"/>
      <c r="F12" s="63"/>
      <c r="G12" s="63"/>
      <c r="H12" s="2"/>
      <c r="I12" s="2"/>
      <c r="J12" s="2"/>
      <c r="K12" s="2"/>
      <c r="L12" s="2"/>
      <c r="M12" s="2"/>
      <c r="N12" s="2"/>
    </row>
    <row r="13" spans="1:14">
      <c r="A13" t="s">
        <v>21</v>
      </c>
      <c r="E13" s="247">
        <f>C62</f>
        <v>7.0477225531716203E-2</v>
      </c>
      <c r="F13" s="182">
        <f>cg_loading!F13</f>
        <v>1.7</v>
      </c>
      <c r="G13" s="118">
        <f>E13*F13</f>
        <v>0.11981128340391754</v>
      </c>
      <c r="I13" s="2"/>
      <c r="J13" s="2"/>
      <c r="K13" s="2"/>
      <c r="L13" s="2"/>
      <c r="M13" s="2"/>
      <c r="N13" s="2"/>
    </row>
    <row r="14" spans="1:14">
      <c r="A14" s="51" t="s">
        <v>22</v>
      </c>
      <c r="B14" s="119">
        <f>C64</f>
        <v>0.13712496754446771</v>
      </c>
      <c r="C14" s="142">
        <f>cg_loading!C14</f>
        <v>30.16</v>
      </c>
      <c r="D14" s="118">
        <f>B14*C14</f>
        <v>4.1356890211411459</v>
      </c>
      <c r="E14" s="63"/>
      <c r="F14" s="63"/>
      <c r="G14" s="63"/>
      <c r="H14" s="2"/>
      <c r="I14" s="2"/>
      <c r="J14" s="2"/>
      <c r="K14" s="2"/>
      <c r="L14" s="2"/>
      <c r="M14" s="2"/>
      <c r="N14" s="2"/>
    </row>
    <row r="15" spans="1:14">
      <c r="A15" t="s">
        <v>23</v>
      </c>
      <c r="B15" s="247">
        <f>C63</f>
        <v>1.009471200866017E-2</v>
      </c>
      <c r="C15" s="127">
        <f>cg_loading!C15</f>
        <v>2.8299999999999983</v>
      </c>
      <c r="D15" s="130">
        <f>B15*C15</f>
        <v>2.8568034984508266E-2</v>
      </c>
      <c r="E15" s="128"/>
      <c r="F15" s="128"/>
      <c r="G15" s="128"/>
      <c r="H15" s="2"/>
      <c r="I15" s="2"/>
      <c r="J15" s="2"/>
      <c r="K15" s="2"/>
      <c r="L15" s="2"/>
      <c r="M15" s="2"/>
      <c r="N15" s="2"/>
    </row>
    <row r="16" spans="1:14" ht="15.75" thickBot="1">
      <c r="A16" t="s">
        <v>24</v>
      </c>
      <c r="B16" s="129">
        <v>2.3E-2</v>
      </c>
      <c r="C16" s="70">
        <f>cg_loading!C16</f>
        <v>2.4700000000000002</v>
      </c>
      <c r="D16" s="130">
        <f>B16*C16</f>
        <v>5.6810000000000006E-2</v>
      </c>
      <c r="E16" s="71"/>
      <c r="F16" s="71"/>
      <c r="G16" s="71"/>
      <c r="H16" s="2"/>
      <c r="I16" s="2"/>
      <c r="J16" s="2"/>
      <c r="K16" s="2"/>
      <c r="L16" s="2"/>
      <c r="M16" s="2"/>
      <c r="N16" s="2"/>
    </row>
    <row r="17" spans="1:14">
      <c r="A17" s="75" t="s">
        <v>25</v>
      </c>
      <c r="B17" s="131">
        <f>SUM(B10:B16)</f>
        <v>0.55014863098272437</v>
      </c>
      <c r="C17" s="120">
        <f>SUM(D10:D16)/B17</f>
        <v>21.653809653690452</v>
      </c>
      <c r="D17" s="67"/>
      <c r="E17" s="131">
        <f>SUM(E10:E16)</f>
        <v>0.2553072475745487</v>
      </c>
      <c r="F17" s="201">
        <f>SUM(G10:G16)/E17</f>
        <v>1.5552097335279425</v>
      </c>
      <c r="G17" s="67"/>
      <c r="H17" s="2"/>
      <c r="I17" s="2"/>
      <c r="J17" s="2"/>
      <c r="K17" s="2"/>
      <c r="L17" s="2"/>
      <c r="M17" s="2"/>
      <c r="N17" s="2"/>
    </row>
    <row r="18" spans="1:14">
      <c r="A18" s="51"/>
      <c r="B18" s="53"/>
      <c r="C18" s="53"/>
      <c r="D18" s="52"/>
      <c r="E18" s="53"/>
      <c r="F18" s="53"/>
      <c r="G18" s="52"/>
      <c r="H18" s="2"/>
      <c r="I18" s="2"/>
      <c r="J18" s="2"/>
      <c r="K18" s="2"/>
      <c r="L18" s="2"/>
      <c r="M18" s="2"/>
      <c r="N18" s="2"/>
    </row>
    <row r="19" spans="1:14">
      <c r="A19" s="51"/>
      <c r="B19" s="53"/>
      <c r="C19" s="53"/>
      <c r="D19" s="65" t="s">
        <v>1</v>
      </c>
      <c r="E19" s="53"/>
      <c r="F19" s="53"/>
      <c r="G19" s="52"/>
      <c r="H19" s="2"/>
      <c r="I19" s="2"/>
      <c r="J19" s="2"/>
      <c r="K19" s="2"/>
      <c r="L19" s="2"/>
      <c r="M19" s="2"/>
      <c r="N19" s="2"/>
    </row>
    <row r="20" spans="1:14" ht="45.75">
      <c r="A20" s="52" t="s">
        <v>26</v>
      </c>
      <c r="B20" s="50" t="s">
        <v>27</v>
      </c>
      <c r="C20" s="172">
        <v>19.61</v>
      </c>
      <c r="D20" s="2" t="s">
        <v>5</v>
      </c>
      <c r="E20" s="23"/>
      <c r="F20" s="52"/>
      <c r="G20" s="52" t="s">
        <v>56</v>
      </c>
      <c r="H20" s="2"/>
      <c r="I20" s="2"/>
      <c r="J20" s="2"/>
      <c r="K20" s="2"/>
      <c r="L20" s="2"/>
      <c r="M20" s="2"/>
      <c r="N20" s="2"/>
    </row>
    <row r="21" spans="1:14" ht="18">
      <c r="A21" s="2"/>
      <c r="B21" s="52" t="s">
        <v>29</v>
      </c>
      <c r="C21" s="121">
        <f>C20+F5</f>
        <v>23.04723489932886</v>
      </c>
      <c r="D21" s="52" t="s">
        <v>5</v>
      </c>
      <c r="E21" s="52"/>
      <c r="F21" s="52"/>
      <c r="G21" s="65"/>
      <c r="H21" s="2"/>
      <c r="I21" s="2"/>
      <c r="J21" s="2"/>
      <c r="K21" s="2"/>
      <c r="L21" s="2"/>
      <c r="M21" s="2"/>
      <c r="N21" s="2"/>
    </row>
    <row r="22" spans="1:14">
      <c r="A22" s="57" t="s">
        <v>30</v>
      </c>
      <c r="B22" s="2"/>
      <c r="C22" s="2"/>
      <c r="D22" s="2"/>
      <c r="E22" s="2"/>
      <c r="F22" s="2"/>
      <c r="G22" s="2"/>
      <c r="H22" s="2"/>
      <c r="I22" s="2"/>
      <c r="J22" s="2"/>
      <c r="K22" s="2"/>
      <c r="L22" s="2"/>
      <c r="M22" s="2"/>
      <c r="N22" s="2"/>
    </row>
    <row r="23" spans="1:14">
      <c r="A23" s="58" t="s">
        <v>31</v>
      </c>
      <c r="B23" s="52"/>
      <c r="C23" s="59"/>
      <c r="D23" s="2"/>
      <c r="E23" s="2"/>
      <c r="F23" s="2"/>
      <c r="G23" s="2"/>
      <c r="H23" s="2"/>
      <c r="I23" s="2"/>
      <c r="J23" s="2"/>
      <c r="K23" s="2"/>
      <c r="L23" s="2"/>
      <c r="M23" s="2"/>
      <c r="N23" s="2"/>
    </row>
    <row r="24" spans="1:14">
      <c r="A24" s="2"/>
      <c r="B24" s="2"/>
      <c r="C24" s="2"/>
      <c r="D24" s="2"/>
      <c r="E24" s="2"/>
      <c r="F24" s="2"/>
      <c r="G24" s="2"/>
      <c r="H24" s="2"/>
      <c r="I24" s="2"/>
      <c r="J24" s="2"/>
      <c r="K24" s="2"/>
      <c r="L24" s="2"/>
      <c r="M24" s="2"/>
      <c r="N24" s="2"/>
    </row>
    <row r="25" spans="1:14" ht="18">
      <c r="A25" s="73" t="s">
        <v>11</v>
      </c>
      <c r="B25" s="72" t="s">
        <v>12</v>
      </c>
      <c r="C25" s="72" t="s">
        <v>13</v>
      </c>
      <c r="D25" s="72" t="s">
        <v>14</v>
      </c>
      <c r="E25" s="6"/>
      <c r="F25" s="2"/>
      <c r="G25" s="2"/>
      <c r="H25" s="2"/>
      <c r="I25" s="2"/>
      <c r="J25" s="2"/>
      <c r="K25" s="2"/>
      <c r="L25" s="2"/>
      <c r="M25" s="2"/>
      <c r="N25" s="2"/>
    </row>
    <row r="26" spans="1:14">
      <c r="A26" s="55" t="s">
        <v>32</v>
      </c>
      <c r="B26" s="116">
        <f>B68/'Weight Pie Charts'!D36</f>
        <v>0.54011678517867634</v>
      </c>
      <c r="C26" s="171">
        <f>(B17*C17+E17*(F17+C20))/(B17+E17)</f>
        <v>21.498936985797986</v>
      </c>
      <c r="D26" s="122">
        <f>B26*C26</f>
        <v>11.61193672952815</v>
      </c>
      <c r="E26" s="6"/>
      <c r="F26" s="2"/>
      <c r="G26" s="2"/>
      <c r="H26" s="2"/>
      <c r="I26" s="2"/>
      <c r="J26" s="2"/>
      <c r="K26" s="2"/>
      <c r="L26" s="2"/>
      <c r="M26" s="2"/>
      <c r="N26" s="2"/>
    </row>
    <row r="27" spans="1:14">
      <c r="A27" s="204" t="s">
        <v>57</v>
      </c>
      <c r="B27" s="116">
        <f>H65/'Weight Pie Charts'!D36</f>
        <v>0.10806916426512968</v>
      </c>
      <c r="C27" s="171">
        <f>G65</f>
        <v>21.304862617188633</v>
      </c>
      <c r="D27" s="122">
        <f>B27*C27</f>
        <v>2.3023986978229791</v>
      </c>
      <c r="E27" s="6"/>
      <c r="F27" s="2"/>
      <c r="G27" s="2"/>
      <c r="H27" s="2"/>
      <c r="I27" s="2"/>
      <c r="J27" s="2"/>
      <c r="K27" s="2"/>
      <c r="L27" s="2"/>
      <c r="M27" s="2"/>
      <c r="N27" s="2"/>
    </row>
    <row r="28" spans="1:14">
      <c r="A28" s="202" t="s">
        <v>58</v>
      </c>
      <c r="B28" s="203">
        <f>H66/'Weight Pie Charts'!D36</f>
        <v>0.26224879923150818</v>
      </c>
      <c r="C28" s="171">
        <f>G66</f>
        <v>18.368629345451428</v>
      </c>
      <c r="D28" s="122">
        <f>B28*C28</f>
        <v>4.8171509893732809</v>
      </c>
      <c r="E28" s="6"/>
      <c r="F28" s="2"/>
      <c r="G28" s="2"/>
      <c r="H28" s="2"/>
      <c r="I28" s="2"/>
      <c r="J28" s="2"/>
      <c r="K28" s="2"/>
      <c r="L28" s="2"/>
      <c r="M28" s="2"/>
      <c r="N28" s="2"/>
    </row>
    <row r="29" spans="1:14">
      <c r="A29" s="55" t="s">
        <v>59</v>
      </c>
      <c r="B29" s="116">
        <f>SUM(B27:B28)</f>
        <v>0.37031796349663787</v>
      </c>
      <c r="C29" s="135">
        <v>18.940000000000001</v>
      </c>
      <c r="D29" s="116">
        <f>B29*C29</f>
        <v>7.0138222286263217</v>
      </c>
      <c r="E29" s="6" t="s">
        <v>60</v>
      </c>
      <c r="F29" s="2"/>
      <c r="G29" s="2"/>
      <c r="H29" s="2"/>
      <c r="I29" s="2"/>
      <c r="J29" s="2"/>
      <c r="K29" s="2"/>
      <c r="L29" s="2"/>
      <c r="M29" s="2"/>
      <c r="N29" s="2"/>
    </row>
    <row r="30" spans="1:14" ht="120.75" thickBot="1">
      <c r="A30" s="174" t="s">
        <v>35</v>
      </c>
      <c r="B30" s="117">
        <f>1-B29-B26</f>
        <v>8.9565251324685846E-2</v>
      </c>
      <c r="C30" s="173">
        <f>cg_loading!C28</f>
        <v>20.469308724832214</v>
      </c>
      <c r="D30" s="116">
        <f>B30*C30</f>
        <v>1.8333387803821819</v>
      </c>
      <c r="E30" s="52" t="s">
        <v>36</v>
      </c>
      <c r="F30" s="2"/>
      <c r="G30" s="2"/>
      <c r="H30" s="2"/>
      <c r="I30" s="2"/>
      <c r="J30" s="2"/>
      <c r="K30" s="2"/>
      <c r="L30" s="2"/>
      <c r="M30" s="2"/>
      <c r="N30" s="2"/>
    </row>
    <row r="31" spans="1:14">
      <c r="A31" s="248" t="s">
        <v>37</v>
      </c>
      <c r="B31" s="249">
        <f>B26+B28</f>
        <v>0.80236558441018446</v>
      </c>
      <c r="C31" s="250">
        <f>((D26+D29)/(B31))</f>
        <v>23.213556663009403</v>
      </c>
      <c r="D31" s="67"/>
      <c r="E31" s="6"/>
      <c r="F31" s="2"/>
      <c r="G31" s="2"/>
      <c r="H31" s="2"/>
      <c r="I31" s="2"/>
      <c r="J31" s="2"/>
      <c r="K31" s="2"/>
      <c r="L31" s="2"/>
      <c r="M31" s="2"/>
      <c r="N31" s="2"/>
    </row>
    <row r="32" spans="1:14">
      <c r="A32" s="248" t="s">
        <v>38</v>
      </c>
      <c r="B32" s="249">
        <f>B26+B28+B30</f>
        <v>0.89193083573487031</v>
      </c>
      <c r="C32" s="171">
        <f>((D26+D29+D30)/(B32))</f>
        <v>22.937986802171949</v>
      </c>
      <c r="D32" s="63"/>
      <c r="E32" s="6"/>
      <c r="F32" s="2"/>
      <c r="G32" s="2"/>
      <c r="H32" s="2"/>
      <c r="I32" s="2"/>
      <c r="J32" s="2"/>
      <c r="K32" s="2"/>
      <c r="L32" s="2"/>
      <c r="M32" s="2"/>
      <c r="N32" s="2"/>
    </row>
    <row r="33" spans="1:16">
      <c r="A33" s="248" t="s">
        <v>39</v>
      </c>
      <c r="B33" s="249">
        <f>B26+B30</f>
        <v>0.62968203650336219</v>
      </c>
      <c r="C33" s="171">
        <f>((D26+D30)/(B33))</f>
        <v>21.352483841800908</v>
      </c>
      <c r="D33" s="213"/>
      <c r="E33" s="6"/>
      <c r="F33" s="2"/>
      <c r="G33" s="2"/>
      <c r="I33" s="2"/>
      <c r="J33" s="2"/>
      <c r="K33" s="2"/>
      <c r="L33" s="2"/>
      <c r="M33" s="2"/>
      <c r="N33" s="2"/>
    </row>
    <row r="34" spans="1:16">
      <c r="A34" s="6" t="s">
        <v>61</v>
      </c>
      <c r="B34" s="222">
        <f>B26+B27</f>
        <v>0.64818594944380603</v>
      </c>
      <c r="C34" s="216">
        <f>(D26+D27)/(B34)</f>
        <v>21.466579828351282</v>
      </c>
      <c r="D34" s="214"/>
      <c r="E34" s="6"/>
      <c r="G34" s="2" t="s">
        <v>40</v>
      </c>
      <c r="H34" s="2"/>
      <c r="I34" s="2"/>
      <c r="J34" s="2"/>
      <c r="K34" s="2"/>
      <c r="L34" s="2"/>
    </row>
    <row r="35" spans="1:16">
      <c r="A35" s="55" t="s">
        <v>62</v>
      </c>
      <c r="B35" s="223">
        <f>B26+B28+B27</f>
        <v>0.91043474867531415</v>
      </c>
      <c r="C35" s="217">
        <f>(D26+D28+D27)/(B35)</f>
        <v>20.574221759416357</v>
      </c>
      <c r="D35" s="168"/>
    </row>
    <row r="36" spans="1:16">
      <c r="A36" s="55" t="s">
        <v>63</v>
      </c>
      <c r="B36" s="223">
        <f>B26+B30+B27</f>
        <v>0.73775120076849188</v>
      </c>
      <c r="C36" s="217">
        <f>(D26+D30+D27)/(B36)</f>
        <v>21.345508067393808</v>
      </c>
      <c r="D36" s="168"/>
    </row>
    <row r="37" spans="1:16">
      <c r="A37" s="215" t="s">
        <v>64</v>
      </c>
      <c r="B37" s="221">
        <f>B26+B30+B28+B27</f>
        <v>1</v>
      </c>
      <c r="C37" s="217">
        <f>(D26+D30+D28+D27)/(B37)</f>
        <v>20.564825197106593</v>
      </c>
      <c r="D37" s="168"/>
    </row>
    <row r="38" spans="1:16">
      <c r="A38" s="218" t="s">
        <v>65</v>
      </c>
    </row>
    <row r="39" spans="1:16">
      <c r="B39">
        <f>B30*'Weight Pie Charts'!D7</f>
        <v>3729.4970651599187</v>
      </c>
    </row>
    <row r="41" spans="1:16">
      <c r="A41" s="219"/>
    </row>
    <row r="43" spans="1:16">
      <c r="A43" s="6"/>
      <c r="B43" s="6"/>
      <c r="C43" s="13" t="s">
        <v>1</v>
      </c>
      <c r="D43" s="6"/>
      <c r="E43" s="6"/>
      <c r="F43" s="2"/>
      <c r="G43" s="2"/>
      <c r="H43" s="2"/>
      <c r="I43" s="2"/>
      <c r="J43" s="2"/>
      <c r="K43" s="2"/>
      <c r="L43" s="2"/>
      <c r="O43" t="s">
        <v>32</v>
      </c>
      <c r="P43" s="225">
        <f>B26</f>
        <v>0.54011678517867634</v>
      </c>
    </row>
    <row r="44" spans="1:16">
      <c r="A44" s="55" t="s">
        <v>41</v>
      </c>
      <c r="B44" s="121">
        <f>MIN(C31:C33)</f>
        <v>21.352483841800908</v>
      </c>
      <c r="C44" s="6" t="s">
        <v>5</v>
      </c>
      <c r="D44" s="6"/>
      <c r="E44" s="6"/>
      <c r="F44" s="2"/>
      <c r="G44" s="2"/>
      <c r="H44" s="2"/>
      <c r="I44" s="2"/>
      <c r="J44" s="2"/>
      <c r="K44" s="2"/>
      <c r="L44" s="2"/>
      <c r="M44" s="2"/>
      <c r="O44" t="s">
        <v>66</v>
      </c>
      <c r="P44" s="225">
        <f>H64/'Weight Pie Charts'!D36</f>
        <v>0.18403073967339098</v>
      </c>
    </row>
    <row r="45" spans="1:16">
      <c r="A45" s="55" t="s">
        <v>42</v>
      </c>
      <c r="B45" s="121">
        <f>MAX(C31:C33)</f>
        <v>23.213556663009403</v>
      </c>
      <c r="C45" s="6" t="s">
        <v>5</v>
      </c>
      <c r="D45" s="6"/>
      <c r="E45" s="6"/>
      <c r="F45" s="2"/>
      <c r="G45" s="2"/>
      <c r="H45" s="2"/>
      <c r="I45" s="2"/>
      <c r="J45" s="2"/>
      <c r="K45" s="2"/>
      <c r="L45" s="2"/>
      <c r="M45" s="2"/>
      <c r="O45" t="s">
        <v>67</v>
      </c>
      <c r="P45" s="225">
        <f>B30</f>
        <v>8.9565251324685846E-2</v>
      </c>
    </row>
    <row r="46" spans="1:16">
      <c r="A46" s="6"/>
      <c r="B46" s="6"/>
      <c r="C46" s="6"/>
      <c r="D46" s="6"/>
      <c r="E46" s="6"/>
      <c r="F46" s="2"/>
      <c r="G46" s="2"/>
      <c r="H46" s="2"/>
      <c r="I46" s="2"/>
      <c r="J46" s="2"/>
      <c r="K46" s="2"/>
      <c r="L46" s="2"/>
      <c r="M46" s="2"/>
      <c r="O46" t="s">
        <v>68</v>
      </c>
      <c r="P46" s="225">
        <f>H63/'Weight Pie Charts'!D36</f>
        <v>5.9438040345821327E-2</v>
      </c>
    </row>
    <row r="47" spans="1:16">
      <c r="A47" s="57" t="s">
        <v>43</v>
      </c>
      <c r="B47" s="2"/>
      <c r="C47" s="2"/>
      <c r="D47" s="2"/>
      <c r="E47" s="2"/>
      <c r="F47" s="2"/>
      <c r="G47" s="2"/>
      <c r="H47" s="2"/>
      <c r="I47" s="2"/>
      <c r="J47" s="2"/>
      <c r="K47" s="2"/>
      <c r="L47" s="2"/>
      <c r="M47" s="2"/>
      <c r="O47" t="s">
        <v>69</v>
      </c>
      <c r="P47" s="225">
        <f>H61/'Weight Pie Charts'!D36</f>
        <v>4.8631123919308357E-2</v>
      </c>
    </row>
    <row r="48" spans="1:16">
      <c r="A48" s="2"/>
      <c r="B48" s="2"/>
      <c r="C48" s="2"/>
      <c r="D48" s="2"/>
      <c r="E48" s="2"/>
      <c r="F48" s="2"/>
      <c r="G48" s="2"/>
      <c r="H48" s="2"/>
      <c r="I48" s="2"/>
      <c r="J48" s="2"/>
      <c r="K48" s="2"/>
      <c r="L48" s="2"/>
      <c r="M48" s="2"/>
      <c r="O48" t="s">
        <v>70</v>
      </c>
      <c r="P48" s="225">
        <f>H62/'Weight Pie Charts'!D36</f>
        <v>5.9747963204500966E-2</v>
      </c>
    </row>
    <row r="49" spans="1:16">
      <c r="A49" s="7" t="s">
        <v>44</v>
      </c>
      <c r="B49" s="2"/>
      <c r="C49" s="2"/>
      <c r="D49" s="2"/>
      <c r="E49" s="2"/>
      <c r="F49" s="2"/>
      <c r="G49" s="2"/>
      <c r="H49" s="2"/>
      <c r="I49" s="2"/>
      <c r="J49" s="2"/>
      <c r="K49" s="2"/>
      <c r="L49" s="2"/>
      <c r="M49" s="2"/>
      <c r="O49" t="s">
        <v>71</v>
      </c>
      <c r="P49" s="225">
        <f>H60/'Weight Pie Charts'!D36</f>
        <v>1.8470096353616225E-2</v>
      </c>
    </row>
    <row r="50" spans="1:16">
      <c r="A50" s="37" t="s">
        <v>45</v>
      </c>
      <c r="B50" s="2"/>
      <c r="C50" s="2"/>
      <c r="D50" s="2"/>
      <c r="E50" s="2"/>
      <c r="F50" s="2"/>
      <c r="G50" s="2"/>
      <c r="H50" s="2"/>
      <c r="I50" s="2"/>
      <c r="J50" s="2"/>
      <c r="K50" s="2"/>
      <c r="L50" s="2"/>
      <c r="M50" s="2"/>
    </row>
    <row r="51" spans="1:16">
      <c r="A51" s="37" t="s">
        <v>46</v>
      </c>
      <c r="B51" s="2"/>
      <c r="C51" s="2"/>
      <c r="D51" s="2"/>
      <c r="E51" s="2"/>
      <c r="F51" s="2"/>
      <c r="G51" s="2"/>
      <c r="H51" s="2"/>
      <c r="I51" s="2"/>
      <c r="J51" s="2"/>
      <c r="K51" s="2"/>
      <c r="L51" s="2"/>
      <c r="M51" s="2"/>
    </row>
    <row r="52" spans="1:16">
      <c r="A52" s="2"/>
      <c r="B52" s="2"/>
      <c r="C52" s="2"/>
      <c r="D52" s="2"/>
      <c r="E52" s="2"/>
      <c r="F52" s="2"/>
      <c r="G52" s="2"/>
      <c r="H52" s="2"/>
      <c r="I52" s="2"/>
      <c r="J52" s="2"/>
      <c r="K52" s="2"/>
      <c r="L52" s="2"/>
      <c r="M52" s="2"/>
      <c r="P52" s="224"/>
    </row>
    <row r="53" spans="1:16">
      <c r="A53" s="7" t="s">
        <v>47</v>
      </c>
      <c r="B53" s="2"/>
      <c r="C53" s="2"/>
      <c r="D53" s="2"/>
      <c r="E53" s="2"/>
      <c r="F53" s="2"/>
      <c r="G53" s="2"/>
      <c r="H53" s="2"/>
      <c r="I53" s="2"/>
      <c r="J53" s="2"/>
      <c r="K53" s="2"/>
      <c r="L53" s="2"/>
      <c r="M53" s="2"/>
    </row>
    <row r="54" spans="1:16">
      <c r="A54" s="2"/>
      <c r="B54" s="2"/>
      <c r="C54" s="2"/>
      <c r="D54" s="2"/>
      <c r="E54" s="2"/>
      <c r="F54" s="2"/>
      <c r="G54" s="2"/>
      <c r="H54" s="2"/>
      <c r="I54" s="2"/>
      <c r="J54" s="2"/>
      <c r="K54" s="2"/>
      <c r="L54" s="2"/>
      <c r="M54" s="2"/>
    </row>
    <row r="57" spans="1:16">
      <c r="B57" t="s">
        <v>49</v>
      </c>
    </row>
    <row r="58" spans="1:16">
      <c r="A58" t="s">
        <v>50</v>
      </c>
      <c r="B58" s="106">
        <f>cg_loading!C48*0.91</f>
        <v>4156.9127600000002</v>
      </c>
      <c r="C58" s="106">
        <f t="shared" ref="C58:C66" si="0">B58/$B$68</f>
        <v>0.1848300220428325</v>
      </c>
      <c r="F58" t="s">
        <v>72</v>
      </c>
      <c r="G58" t="s">
        <v>73</v>
      </c>
      <c r="H58" t="s">
        <v>74</v>
      </c>
      <c r="I58" t="s">
        <v>75</v>
      </c>
    </row>
    <row r="59" spans="1:16">
      <c r="A59" t="s">
        <v>51</v>
      </c>
      <c r="B59" s="106">
        <f>cg_loading!C49</f>
        <v>579.70000000000005</v>
      </c>
      <c r="C59" s="106">
        <f t="shared" si="0"/>
        <v>2.5775369839185658E-2</v>
      </c>
      <c r="M59" t="s">
        <v>76</v>
      </c>
    </row>
    <row r="60" spans="1:16">
      <c r="A60" t="s">
        <v>52</v>
      </c>
      <c r="B60" s="106">
        <f>cg_loading!C50</f>
        <v>417.38399999999996</v>
      </c>
      <c r="C60" s="106">
        <f t="shared" si="0"/>
        <v>1.855826628421367E-2</v>
      </c>
      <c r="F60" t="s">
        <v>77</v>
      </c>
      <c r="G60" s="133">
        <f>'pay, load, stuff'!D4+G76*(H70/2)</f>
        <v>11.446653992395436</v>
      </c>
      <c r="H60" s="205">
        <f>'Weight Pie Charts'!D44</f>
        <v>769.09481216457959</v>
      </c>
      <c r="I60" s="108">
        <f t="shared" ref="I60:I66" si="1">G60*H60</f>
        <v>8803.5622021943036</v>
      </c>
      <c r="K60">
        <f>H60/41640</f>
        <v>1.8470096353616225E-2</v>
      </c>
      <c r="M60">
        <f>($G60-$C$20)/$F$5</f>
        <v>-2.3749747243630353</v>
      </c>
    </row>
    <row r="61" spans="1:16">
      <c r="A61" t="s">
        <v>53</v>
      </c>
      <c r="B61" s="106">
        <f>cg_loading!C51*0.93</f>
        <v>7547.6939999999995</v>
      </c>
      <c r="C61" s="106">
        <f t="shared" si="0"/>
        <v>0.33559531530619718</v>
      </c>
      <c r="F61" t="s">
        <v>78</v>
      </c>
      <c r="G61" s="133">
        <f>'pay, load, stuff'!D4 -G76*(0.5-H70/2)</f>
        <v>9.3966539923954375</v>
      </c>
      <c r="H61">
        <v>2025</v>
      </c>
      <c r="I61" s="108">
        <f t="shared" si="1"/>
        <v>19028.22433460076</v>
      </c>
      <c r="K61">
        <f t="shared" ref="K61:K67" si="2">H61/41640</f>
        <v>4.8631123919308357E-2</v>
      </c>
      <c r="M61">
        <f>(G61-C$20)/F$5</f>
        <v>-2.9713843559539033</v>
      </c>
    </row>
    <row r="62" spans="1:16">
      <c r="A62" t="s">
        <v>21</v>
      </c>
      <c r="B62" s="106">
        <f>cg_loading!C52*C72/B72</f>
        <v>1585.0654285714286</v>
      </c>
      <c r="C62" s="106">
        <f t="shared" si="0"/>
        <v>7.0477225531716203E-2</v>
      </c>
      <c r="D62" s="254"/>
      <c r="F62" t="s">
        <v>79</v>
      </c>
      <c r="G62">
        <f>'pay, load, stuff'!E4-G77* (H73/2)</f>
        <v>28.912942401110339</v>
      </c>
      <c r="H62" s="205">
        <f>'Weight Pie Charts'!D43</f>
        <v>2487.9051878354203</v>
      </c>
      <c r="I62" s="108">
        <f t="shared" si="1"/>
        <v>71932.659395309107</v>
      </c>
      <c r="K62">
        <f t="shared" si="2"/>
        <v>5.9747963204500966E-2</v>
      </c>
      <c r="M62">
        <f>(G62-C$20)/F$5</f>
        <v>2.7065192439791632</v>
      </c>
    </row>
    <row r="63" spans="1:16">
      <c r="A63" t="s">
        <v>23</v>
      </c>
      <c r="B63" s="106">
        <f>cg_loading!C53*C74/B74</f>
        <v>227.03474626865668</v>
      </c>
      <c r="C63" s="106">
        <f t="shared" si="0"/>
        <v>1.009471200866017E-2</v>
      </c>
      <c r="D63" s="254"/>
      <c r="F63" t="s">
        <v>80</v>
      </c>
      <c r="G63">
        <f>'pay, load, stuff'!E4+G77*(0.5-H73/2)</f>
        <v>31.047942401110337</v>
      </c>
      <c r="H63">
        <v>2475</v>
      </c>
      <c r="I63" s="108">
        <f t="shared" si="1"/>
        <v>76843.657442748081</v>
      </c>
      <c r="K63">
        <f t="shared" si="2"/>
        <v>5.9438040345821327E-2</v>
      </c>
      <c r="M63">
        <f>(G63-C$20)/F$5</f>
        <v>3.3276580554164816</v>
      </c>
    </row>
    <row r="64" spans="1:16">
      <c r="A64" t="s">
        <v>54</v>
      </c>
      <c r="B64" s="106">
        <f>cg_loading!C54</f>
        <v>3084.0040000000004</v>
      </c>
      <c r="C64" s="106">
        <f t="shared" si="0"/>
        <v>0.13712496754446771</v>
      </c>
      <c r="F64" t="s">
        <v>81</v>
      </c>
      <c r="G64">
        <v>15.64</v>
      </c>
      <c r="H64" s="108">
        <f>'pay, load, stuff'!F7 - 12*'CRJ-1000 Loading Diagram'!C7</f>
        <v>7663.04</v>
      </c>
      <c r="I64" s="108">
        <f t="shared" si="1"/>
        <v>119849.94560000001</v>
      </c>
      <c r="K64">
        <f t="shared" si="2"/>
        <v>0.18403073967339098</v>
      </c>
      <c r="M64">
        <f>(G64-C$20)/F$5</f>
        <v>-1.1549981645930469</v>
      </c>
    </row>
    <row r="65" spans="1:13">
      <c r="A65" t="s">
        <v>24</v>
      </c>
      <c r="B65" s="106">
        <f>cg_loading!C55</f>
        <v>533.32399999999996</v>
      </c>
      <c r="C65" s="106">
        <f t="shared" si="0"/>
        <v>2.37133402520508E-2</v>
      </c>
      <c r="F65" t="s">
        <v>82</v>
      </c>
      <c r="G65" s="133">
        <f>(SUM(I61,I63)/(H65))</f>
        <v>21.304862617188633</v>
      </c>
      <c r="H65" s="108">
        <f>H61+H63</f>
        <v>4500</v>
      </c>
      <c r="I65" s="108">
        <f t="shared" si="1"/>
        <v>95871.881777348841</v>
      </c>
      <c r="K65">
        <f t="shared" si="2"/>
        <v>0.10806916426512968</v>
      </c>
    </row>
    <row r="66" spans="1:13">
      <c r="A66" t="s">
        <v>55</v>
      </c>
      <c r="B66" s="106">
        <f>cg_loading!C56</f>
        <v>4359.3439999999991</v>
      </c>
      <c r="C66" s="106">
        <f t="shared" si="0"/>
        <v>0.19383078119067609</v>
      </c>
      <c r="F66" t="s">
        <v>33</v>
      </c>
      <c r="G66" s="133">
        <f>SUM(I60,I62,I64)/H66</f>
        <v>18.368629345451428</v>
      </c>
      <c r="H66" s="108">
        <f>H60+H62+H64</f>
        <v>10920.04</v>
      </c>
      <c r="I66" s="108">
        <f t="shared" si="1"/>
        <v>200586.16719750341</v>
      </c>
      <c r="K66">
        <f t="shared" si="2"/>
        <v>0.26224879923150818</v>
      </c>
    </row>
    <row r="67" spans="1:13">
      <c r="F67" t="s">
        <v>83</v>
      </c>
      <c r="G67" s="133">
        <f>SUM(I65:I66)/H67</f>
        <v>27.148172983045079</v>
      </c>
      <c r="H67" s="108">
        <v>10920</v>
      </c>
      <c r="K67">
        <f t="shared" si="2"/>
        <v>0.26224783861671469</v>
      </c>
    </row>
    <row r="68" spans="1:13">
      <c r="B68" s="106">
        <f>SUM(B58:B66)</f>
        <v>22490.462934840085</v>
      </c>
      <c r="C68" s="106">
        <f>SUM(C58:C65)</f>
        <v>0.80616921880932391</v>
      </c>
      <c r="G68" t="s">
        <v>84</v>
      </c>
      <c r="L68" t="s">
        <v>35</v>
      </c>
      <c r="M68">
        <f>(C30-C20)/F5</f>
        <v>0.24999999999999983</v>
      </c>
    </row>
    <row r="69" spans="1:13">
      <c r="F69" t="s">
        <v>85</v>
      </c>
      <c r="G69">
        <v>5.26</v>
      </c>
    </row>
    <row r="70" spans="1:13">
      <c r="F70" t="s">
        <v>86</v>
      </c>
      <c r="G70">
        <v>1.3</v>
      </c>
      <c r="H70" s="106">
        <f>G70/G69</f>
        <v>0.24714828897338406</v>
      </c>
    </row>
    <row r="71" spans="1:13">
      <c r="B71" t="s">
        <v>87</v>
      </c>
      <c r="C71" t="s">
        <v>88</v>
      </c>
      <c r="F71" t="s">
        <v>89</v>
      </c>
      <c r="G71">
        <f>G69-G70</f>
        <v>3.96</v>
      </c>
    </row>
    <row r="72" spans="1:13">
      <c r="B72">
        <v>1.68</v>
      </c>
      <c r="C72">
        <v>1.98</v>
      </c>
      <c r="F72" t="s">
        <v>90</v>
      </c>
      <c r="G72">
        <v>14.41</v>
      </c>
    </row>
    <row r="73" spans="1:13">
      <c r="B73" t="s">
        <v>91</v>
      </c>
      <c r="C73" t="s">
        <v>92</v>
      </c>
      <c r="F73" t="s">
        <v>93</v>
      </c>
      <c r="G73">
        <v>1.6</v>
      </c>
      <c r="H73" s="106">
        <f>G73/G72</f>
        <v>0.11103400416377517</v>
      </c>
    </row>
    <row r="74" spans="1:13">
      <c r="B74">
        <v>1.34</v>
      </c>
      <c r="C74">
        <v>1.64</v>
      </c>
      <c r="F74" t="s">
        <v>94</v>
      </c>
      <c r="G74">
        <f>G72-G73</f>
        <v>12.81</v>
      </c>
    </row>
    <row r="76" spans="1:13">
      <c r="F76" t="s">
        <v>95</v>
      </c>
      <c r="G76" s="144">
        <v>4.0999999999999996</v>
      </c>
    </row>
    <row r="77" spans="1:13">
      <c r="F77" t="s">
        <v>96</v>
      </c>
      <c r="G77" s="144">
        <v>4.2699999999999996</v>
      </c>
    </row>
    <row r="79" spans="1:13">
      <c r="G79" t="s">
        <v>97</v>
      </c>
    </row>
  </sheetData>
  <mergeCells count="3">
    <mergeCell ref="B8:D8"/>
    <mergeCell ref="E8:G8"/>
    <mergeCell ref="D62:D6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BD799-A994-4EC9-8AE3-7A6E1D5479D3}">
  <dimension ref="B2:Y64"/>
  <sheetViews>
    <sheetView zoomScale="68" zoomScaleNormal="85" workbookViewId="0">
      <selection activeCell="AL32" sqref="AL32"/>
    </sheetView>
  </sheetViews>
  <sheetFormatPr defaultRowHeight="15"/>
  <cols>
    <col min="2" max="2" width="19.7109375" customWidth="1"/>
    <col min="5" max="5" width="15.28515625" customWidth="1"/>
    <col min="6" max="6" width="11" customWidth="1"/>
    <col min="7" max="8" width="10.7109375" customWidth="1"/>
    <col min="9" max="10" width="16.7109375" customWidth="1"/>
    <col min="11" max="11" width="20.140625" customWidth="1"/>
    <col min="12" max="12" width="13.28515625" customWidth="1"/>
    <col min="13" max="13" width="14.28515625" customWidth="1"/>
    <col min="14" max="14" width="17.85546875" customWidth="1"/>
    <col min="16" max="16" width="17.28515625" customWidth="1"/>
    <col min="17" max="17" width="12.7109375" customWidth="1"/>
    <col min="18" max="25" width="19.7109375" customWidth="1"/>
  </cols>
  <sheetData>
    <row r="2" spans="2:25">
      <c r="B2" t="s">
        <v>8</v>
      </c>
      <c r="C2" s="146">
        <f>cg_loading!F5</f>
        <v>3.4372348993288591</v>
      </c>
    </row>
    <row r="3" spans="2:25">
      <c r="B3" t="s">
        <v>98</v>
      </c>
      <c r="C3">
        <f>36.57</f>
        <v>36.57</v>
      </c>
      <c r="G3" s="151" t="s">
        <v>99</v>
      </c>
      <c r="H3" s="151" t="s">
        <v>100</v>
      </c>
      <c r="I3" s="151" t="s">
        <v>101</v>
      </c>
      <c r="J3" s="151" t="s">
        <v>102</v>
      </c>
      <c r="K3" s="151" t="s">
        <v>103</v>
      </c>
      <c r="L3" s="151" t="s">
        <v>104</v>
      </c>
      <c r="M3" s="151" t="s">
        <v>105</v>
      </c>
      <c r="N3" s="151" t="s">
        <v>106</v>
      </c>
      <c r="P3" s="148"/>
      <c r="Q3" s="148"/>
      <c r="R3" s="152" t="s">
        <v>99</v>
      </c>
      <c r="S3" s="152" t="s">
        <v>100</v>
      </c>
      <c r="T3" s="152" t="s">
        <v>101</v>
      </c>
      <c r="U3" s="152" t="s">
        <v>102</v>
      </c>
      <c r="V3" s="153" t="s">
        <v>103</v>
      </c>
      <c r="W3" s="152" t="s">
        <v>104</v>
      </c>
      <c r="X3" s="152" t="s">
        <v>105</v>
      </c>
      <c r="Y3" s="152" t="s">
        <v>106</v>
      </c>
    </row>
    <row r="4" spans="2:25">
      <c r="B4" t="s">
        <v>107</v>
      </c>
      <c r="C4" s="228">
        <f>cg_loading!I20</f>
        <v>0.53623188405797095</v>
      </c>
      <c r="F4" s="151" t="s">
        <v>32</v>
      </c>
      <c r="G4" s="145">
        <f>'Weight Pie Charts'!D9</f>
        <v>23188</v>
      </c>
      <c r="H4" s="146">
        <f>cg_loading!C26</f>
        <v>21.47</v>
      </c>
      <c r="I4">
        <f>G4*H4</f>
        <v>497846.36</v>
      </c>
      <c r="J4">
        <f>G4</f>
        <v>23188</v>
      </c>
      <c r="K4">
        <f>I4</f>
        <v>497846.36</v>
      </c>
      <c r="L4">
        <f>K4/J4</f>
        <v>21.47</v>
      </c>
      <c r="M4" s="133">
        <f>L4-C$5</f>
        <v>1.8599999999999994</v>
      </c>
      <c r="N4" s="156">
        <f>M4/C$2</f>
        <v>0.54113264134586081</v>
      </c>
      <c r="P4" s="148"/>
      <c r="Q4" s="152" t="s">
        <v>32</v>
      </c>
      <c r="R4" s="147">
        <f>G4</f>
        <v>23188</v>
      </c>
      <c r="S4" s="149">
        <f>H4</f>
        <v>21.47</v>
      </c>
      <c r="T4" s="148">
        <f>R4*S4</f>
        <v>497846.36</v>
      </c>
      <c r="U4" s="148">
        <f>R4</f>
        <v>23188</v>
      </c>
      <c r="V4">
        <f>T4</f>
        <v>497846.36</v>
      </c>
      <c r="W4">
        <f>V4/U4</f>
        <v>21.47</v>
      </c>
      <c r="X4" s="133">
        <f>W4-C$5</f>
        <v>1.8599999999999994</v>
      </c>
      <c r="Y4" s="156">
        <f>X4/C$2</f>
        <v>0.54113264134586081</v>
      </c>
    </row>
    <row r="5" spans="2:25">
      <c r="B5" t="s">
        <v>108</v>
      </c>
      <c r="C5" s="139">
        <f>C3*C4</f>
        <v>19.61</v>
      </c>
      <c r="E5" t="s">
        <v>109</v>
      </c>
      <c r="F5" s="151" t="s">
        <v>79</v>
      </c>
      <c r="G5" s="145">
        <f>'Weight Pie Charts'!D27</f>
        <v>2386.0381291306553</v>
      </c>
      <c r="H5" s="226">
        <f>'pay, load, stuff'!E4</f>
        <v>29.15</v>
      </c>
      <c r="I5">
        <f t="shared" ref="I5:I57" si="0">G5*H5</f>
        <v>69553.011464158597</v>
      </c>
      <c r="J5">
        <f>J4+G5</f>
        <v>25574.038129130655</v>
      </c>
      <c r="K5">
        <f>K4+I5</f>
        <v>567399.37146415864</v>
      </c>
      <c r="L5">
        <f>K5/J5</f>
        <v>22.186538105527038</v>
      </c>
      <c r="M5" s="133">
        <f t="shared" ref="M5:M57" si="1">L5-C$5</f>
        <v>2.5765381055270389</v>
      </c>
      <c r="N5" s="154">
        <f>M5/C$2</f>
        <v>0.74959616697425113</v>
      </c>
      <c r="Q5" s="152" t="s">
        <v>77</v>
      </c>
      <c r="R5" s="147">
        <f>G6</f>
        <v>870.96187086934412</v>
      </c>
      <c r="S5" s="147">
        <f>H6</f>
        <v>10.94</v>
      </c>
      <c r="T5" s="148">
        <f t="shared" ref="T5:T57" si="2">R5*S5</f>
        <v>9528.3228673106241</v>
      </c>
      <c r="U5" s="148">
        <f>U4+R5</f>
        <v>24058.961870869345</v>
      </c>
      <c r="V5">
        <f>V4+T5</f>
        <v>507374.68286731059</v>
      </c>
      <c r="W5">
        <f t="shared" ref="W5:W57" si="3">V5/U5</f>
        <v>21.088801985327606</v>
      </c>
      <c r="X5" s="133">
        <f t="shared" ref="X5:X57" si="4">W5-C$5</f>
        <v>1.4788019853276069</v>
      </c>
      <c r="Y5" s="157">
        <f>X5/C$2</f>
        <v>0.43023012061711347</v>
      </c>
    </row>
    <row r="6" spans="2:25">
      <c r="F6" s="151" t="s">
        <v>77</v>
      </c>
      <c r="G6" s="145">
        <f>'Weight Pie Charts'!D26</f>
        <v>870.96187086934412</v>
      </c>
      <c r="H6" s="227">
        <f>'pay, load, stuff'!D4</f>
        <v>10.94</v>
      </c>
      <c r="I6">
        <f t="shared" si="0"/>
        <v>9528.3228673106241</v>
      </c>
      <c r="J6">
        <f t="shared" ref="J6:J57" si="5">J5+G6</f>
        <v>26445</v>
      </c>
      <c r="K6">
        <f t="shared" ref="K6:K57" si="6">K5+I6</f>
        <v>576927.69433146925</v>
      </c>
      <c r="L6">
        <f t="shared" ref="L6:L57" si="7">K6/J6</f>
        <v>21.81613516095554</v>
      </c>
      <c r="M6" s="133">
        <f t="shared" si="1"/>
        <v>2.2061351609555402</v>
      </c>
      <c r="N6" s="154">
        <f>M6/C$2</f>
        <v>0.64183427248056324</v>
      </c>
      <c r="Q6" s="152" t="s">
        <v>79</v>
      </c>
      <c r="R6" s="147">
        <f>G5</f>
        <v>2386.0381291306553</v>
      </c>
      <c r="S6" s="147">
        <f>H5</f>
        <v>29.15</v>
      </c>
      <c r="T6" s="148">
        <f t="shared" si="2"/>
        <v>69553.011464158597</v>
      </c>
      <c r="U6" s="148">
        <f t="shared" ref="U6:U57" si="8">U5+R6</f>
        <v>26445</v>
      </c>
      <c r="V6">
        <f t="shared" ref="V6:V57" si="9">V5+T6</f>
        <v>576927.69433146925</v>
      </c>
      <c r="W6">
        <f t="shared" si="3"/>
        <v>21.81613516095554</v>
      </c>
      <c r="X6" s="133">
        <f t="shared" si="4"/>
        <v>2.2061351609555402</v>
      </c>
      <c r="Y6" s="157">
        <f>X6/C$2</f>
        <v>0.64183427248056324</v>
      </c>
    </row>
    <row r="7" spans="2:25">
      <c r="B7" t="s">
        <v>110</v>
      </c>
      <c r="C7">
        <f>'Weight Pie Charts'!D10/100</f>
        <v>87.08</v>
      </c>
      <c r="E7" t="s">
        <v>111</v>
      </c>
      <c r="F7" s="151" t="s">
        <v>112</v>
      </c>
      <c r="G7">
        <f t="shared" ref="G7:G38" si="10">C$8/2*C$7</f>
        <v>174.16</v>
      </c>
      <c r="H7">
        <f>C42+24*C9+C9/2</f>
        <v>24.941300000000002</v>
      </c>
      <c r="I7">
        <f>G7*H7</f>
        <v>4343.7768080000005</v>
      </c>
      <c r="J7">
        <f>J6+G7</f>
        <v>26619.16</v>
      </c>
      <c r="K7">
        <f t="shared" si="6"/>
        <v>581271.4711394693</v>
      </c>
      <c r="L7">
        <f t="shared" si="7"/>
        <v>21.836582038631921</v>
      </c>
      <c r="M7" s="133">
        <f t="shared" si="1"/>
        <v>2.2265820386319213</v>
      </c>
      <c r="N7" s="160">
        <f>M7/C$2</f>
        <v>0.64778291383771147</v>
      </c>
      <c r="P7" s="148" t="s">
        <v>113</v>
      </c>
      <c r="Q7" s="152" t="s">
        <v>114</v>
      </c>
      <c r="R7" s="148">
        <f t="shared" ref="R7:R38" si="11">C$8*C$7/2</f>
        <v>174.16</v>
      </c>
      <c r="S7" s="150">
        <f>C42+C9/2</f>
        <v>6.0437000000000003</v>
      </c>
      <c r="T7" s="148">
        <f t="shared" si="2"/>
        <v>1052.570792</v>
      </c>
      <c r="U7" s="148">
        <f t="shared" si="8"/>
        <v>26619.16</v>
      </c>
      <c r="V7">
        <f t="shared" si="9"/>
        <v>577980.26512346929</v>
      </c>
      <c r="W7">
        <f t="shared" si="3"/>
        <v>21.712941547496964</v>
      </c>
      <c r="X7" s="133">
        <f t="shared" si="4"/>
        <v>2.1029415474969646</v>
      </c>
      <c r="Y7" s="158">
        <f>X7/C$2</f>
        <v>0.61181199687794885</v>
      </c>
    </row>
    <row r="8" spans="2:25">
      <c r="B8" t="s">
        <v>115</v>
      </c>
      <c r="C8">
        <v>4</v>
      </c>
      <c r="F8" s="151" t="s">
        <v>116</v>
      </c>
      <c r="G8">
        <f t="shared" si="10"/>
        <v>174.16</v>
      </c>
      <c r="H8" s="2">
        <f t="shared" ref="H8:H31" si="12">H7-C$9</f>
        <v>24.1539</v>
      </c>
      <c r="I8">
        <f t="shared" si="0"/>
        <v>4206.6432240000004</v>
      </c>
      <c r="J8">
        <f t="shared" si="5"/>
        <v>26793.32</v>
      </c>
      <c r="K8">
        <f>K7+I8</f>
        <v>585478.1143634693</v>
      </c>
      <c r="L8">
        <f t="shared" si="7"/>
        <v>21.851644901171984</v>
      </c>
      <c r="M8" s="133">
        <f t="shared" si="1"/>
        <v>2.2416449011719841</v>
      </c>
      <c r="N8" s="160">
        <f t="shared" ref="N8:N31" si="13">M8/C$2</f>
        <v>0.65216517544660069</v>
      </c>
      <c r="P8" s="148"/>
      <c r="Q8" s="152" t="s">
        <v>117</v>
      </c>
      <c r="R8" s="148">
        <f t="shared" si="11"/>
        <v>174.16</v>
      </c>
      <c r="S8" s="147">
        <f t="shared" ref="S8:S31" si="14">S7+C$9</f>
        <v>6.8311000000000002</v>
      </c>
      <c r="T8" s="148">
        <f t="shared" si="2"/>
        <v>1189.7043759999999</v>
      </c>
      <c r="U8" s="148">
        <f t="shared" si="8"/>
        <v>26793.32</v>
      </c>
      <c r="V8">
        <f t="shared" si="9"/>
        <v>579169.96949946927</v>
      </c>
      <c r="W8">
        <f t="shared" si="3"/>
        <v>21.616207677864082</v>
      </c>
      <c r="X8" s="133">
        <f t="shared" si="4"/>
        <v>2.0062076778640829</v>
      </c>
      <c r="Y8" s="158">
        <f t="shared" ref="Y8:Y31" si="15">X8/C$2</f>
        <v>0.58366906441448241</v>
      </c>
    </row>
    <row r="9" spans="2:25">
      <c r="B9" t="s">
        <v>118</v>
      </c>
      <c r="C9">
        <f>31*0.0254</f>
        <v>0.78739999999999999</v>
      </c>
      <c r="F9" s="151" t="s">
        <v>119</v>
      </c>
      <c r="G9">
        <f t="shared" si="10"/>
        <v>174.16</v>
      </c>
      <c r="H9" s="2">
        <f t="shared" si="12"/>
        <v>23.366499999999998</v>
      </c>
      <c r="I9">
        <f t="shared" si="0"/>
        <v>4069.5096399999998</v>
      </c>
      <c r="J9">
        <f t="shared" si="5"/>
        <v>26967.48</v>
      </c>
      <c r="K9">
        <f t="shared" si="6"/>
        <v>589547.62400346925</v>
      </c>
      <c r="L9">
        <f t="shared" si="7"/>
        <v>21.861428060889235</v>
      </c>
      <c r="M9" s="133">
        <f t="shared" si="1"/>
        <v>2.2514280608892356</v>
      </c>
      <c r="N9" s="160">
        <f t="shared" si="13"/>
        <v>0.6550114050479473</v>
      </c>
      <c r="P9" s="148"/>
      <c r="Q9" s="152" t="s">
        <v>120</v>
      </c>
      <c r="R9" s="148">
        <f t="shared" si="11"/>
        <v>174.16</v>
      </c>
      <c r="S9" s="147">
        <f t="shared" si="14"/>
        <v>7.6185</v>
      </c>
      <c r="T9" s="148">
        <f t="shared" si="2"/>
        <v>1326.8379600000001</v>
      </c>
      <c r="U9" s="148">
        <f t="shared" si="8"/>
        <v>26967.48</v>
      </c>
      <c r="V9">
        <f t="shared" si="9"/>
        <v>580496.8074594693</v>
      </c>
      <c r="W9">
        <f t="shared" si="3"/>
        <v>21.525808398095386</v>
      </c>
      <c r="X9" s="133">
        <f t="shared" si="4"/>
        <v>1.9158083980953862</v>
      </c>
      <c r="Y9" s="158">
        <f t="shared" si="15"/>
        <v>0.5573690638569565</v>
      </c>
    </row>
    <row r="10" spans="2:25" ht="15.75" thickBot="1">
      <c r="F10" s="151" t="s">
        <v>121</v>
      </c>
      <c r="G10">
        <f t="shared" si="10"/>
        <v>174.16</v>
      </c>
      <c r="H10" s="2">
        <f t="shared" si="12"/>
        <v>22.579099999999997</v>
      </c>
      <c r="I10">
        <f t="shared" si="0"/>
        <v>3932.3760559999992</v>
      </c>
      <c r="J10">
        <f t="shared" si="5"/>
        <v>27141.64</v>
      </c>
      <c r="K10">
        <f t="shared" si="6"/>
        <v>593480.00005946925</v>
      </c>
      <c r="L10">
        <f t="shared" si="7"/>
        <v>21.866033152730243</v>
      </c>
      <c r="M10" s="133">
        <f t="shared" si="1"/>
        <v>2.2560331527302431</v>
      </c>
      <c r="N10" s="160">
        <f t="shared" si="13"/>
        <v>0.65635117145201427</v>
      </c>
      <c r="P10" s="148"/>
      <c r="Q10" s="152" t="s">
        <v>122</v>
      </c>
      <c r="R10" s="148">
        <f t="shared" si="11"/>
        <v>174.16</v>
      </c>
      <c r="S10" s="147">
        <f t="shared" si="14"/>
        <v>8.4059000000000008</v>
      </c>
      <c r="T10" s="148">
        <f t="shared" si="2"/>
        <v>1463.9715440000002</v>
      </c>
      <c r="U10" s="148">
        <f t="shared" si="8"/>
        <v>27141.64</v>
      </c>
      <c r="V10">
        <f t="shared" si="9"/>
        <v>581960.77900346927</v>
      </c>
      <c r="W10">
        <f t="shared" si="3"/>
        <v>21.441621766535452</v>
      </c>
      <c r="X10" s="133">
        <f t="shared" si="4"/>
        <v>1.8316217665354522</v>
      </c>
      <c r="Y10" s="158">
        <f t="shared" si="15"/>
        <v>0.53287651853328022</v>
      </c>
    </row>
    <row r="11" spans="2:25" ht="14.45" customHeight="1">
      <c r="B11" s="282" t="s">
        <v>123</v>
      </c>
      <c r="C11" s="283"/>
      <c r="D11" s="284"/>
      <c r="F11" s="151" t="s">
        <v>124</v>
      </c>
      <c r="G11">
        <f t="shared" si="10"/>
        <v>174.16</v>
      </c>
      <c r="H11" s="2">
        <f t="shared" si="12"/>
        <v>21.791699999999995</v>
      </c>
      <c r="I11">
        <f t="shared" si="0"/>
        <v>3795.242471999999</v>
      </c>
      <c r="J11">
        <f t="shared" si="5"/>
        <v>27315.8</v>
      </c>
      <c r="K11">
        <f t="shared" si="6"/>
        <v>597275.24253146921</v>
      </c>
      <c r="L11">
        <f t="shared" si="7"/>
        <v>21.865559219626341</v>
      </c>
      <c r="M11" s="133">
        <f t="shared" si="1"/>
        <v>2.2555592196263419</v>
      </c>
      <c r="N11" s="160">
        <f t="shared" si="13"/>
        <v>0.65621328937011358</v>
      </c>
      <c r="P11" s="148"/>
      <c r="Q11" s="152" t="s">
        <v>125</v>
      </c>
      <c r="R11" s="148">
        <f t="shared" si="11"/>
        <v>174.16</v>
      </c>
      <c r="S11" s="147">
        <f t="shared" si="14"/>
        <v>9.1933000000000007</v>
      </c>
      <c r="T11" s="148">
        <f t="shared" si="2"/>
        <v>1601.1051280000001</v>
      </c>
      <c r="U11" s="148">
        <f t="shared" si="8"/>
        <v>27315.8</v>
      </c>
      <c r="V11">
        <f t="shared" si="9"/>
        <v>583561.8841314693</v>
      </c>
      <c r="W11">
        <f t="shared" si="3"/>
        <v>21.363528951429917</v>
      </c>
      <c r="X11" s="133">
        <f t="shared" si="4"/>
        <v>1.7535289514299173</v>
      </c>
      <c r="Y11" s="158">
        <f t="shared" si="15"/>
        <v>0.5101568565396285</v>
      </c>
    </row>
    <row r="12" spans="2:25">
      <c r="B12" s="285"/>
      <c r="C12" s="286"/>
      <c r="D12" s="287"/>
      <c r="F12" s="151" t="s">
        <v>126</v>
      </c>
      <c r="G12">
        <f t="shared" si="10"/>
        <v>174.16</v>
      </c>
      <c r="H12" s="2">
        <f t="shared" si="12"/>
        <v>21.004299999999994</v>
      </c>
      <c r="I12">
        <f t="shared" si="0"/>
        <v>3658.1088879999988</v>
      </c>
      <c r="J12">
        <f t="shared" si="5"/>
        <v>27489.96</v>
      </c>
      <c r="K12">
        <f t="shared" si="6"/>
        <v>600933.35141946923</v>
      </c>
      <c r="L12">
        <f t="shared" si="7"/>
        <v>21.860102794600984</v>
      </c>
      <c r="M12" s="133">
        <f t="shared" si="1"/>
        <v>2.2501027946009842</v>
      </c>
      <c r="N12" s="160">
        <f t="shared" si="13"/>
        <v>0.65462584330222251</v>
      </c>
      <c r="P12" s="148"/>
      <c r="Q12" s="152" t="s">
        <v>127</v>
      </c>
      <c r="R12" s="148">
        <f t="shared" si="11"/>
        <v>174.16</v>
      </c>
      <c r="S12" s="147">
        <f t="shared" si="14"/>
        <v>9.9807000000000006</v>
      </c>
      <c r="T12" s="148">
        <f t="shared" si="2"/>
        <v>1738.2387120000001</v>
      </c>
      <c r="U12" s="148">
        <f t="shared" si="8"/>
        <v>27489.96</v>
      </c>
      <c r="V12">
        <f t="shared" si="9"/>
        <v>585300.12284346926</v>
      </c>
      <c r="W12">
        <f t="shared" si="3"/>
        <v>21.291414132413045</v>
      </c>
      <c r="X12" s="133">
        <f t="shared" si="4"/>
        <v>1.681414132413046</v>
      </c>
      <c r="Y12" s="158">
        <f t="shared" si="15"/>
        <v>0.48917638208007036</v>
      </c>
    </row>
    <row r="13" spans="2:25">
      <c r="B13" s="285"/>
      <c r="C13" s="286"/>
      <c r="D13" s="287"/>
      <c r="F13" s="151" t="s">
        <v>128</v>
      </c>
      <c r="G13">
        <f t="shared" si="10"/>
        <v>174.16</v>
      </c>
      <c r="H13" s="2">
        <f t="shared" si="12"/>
        <v>20.216899999999992</v>
      </c>
      <c r="I13">
        <f t="shared" si="0"/>
        <v>3520.9753039999987</v>
      </c>
      <c r="J13">
        <f t="shared" si="5"/>
        <v>27664.12</v>
      </c>
      <c r="K13">
        <f t="shared" si="6"/>
        <v>604454.32672346919</v>
      </c>
      <c r="L13">
        <f t="shared" si="7"/>
        <v>21.849757979775578</v>
      </c>
      <c r="M13" s="133">
        <f t="shared" si="1"/>
        <v>2.2397579797755789</v>
      </c>
      <c r="N13" s="160">
        <f t="shared" si="13"/>
        <v>0.65161621052227336</v>
      </c>
      <c r="P13" s="148"/>
      <c r="Q13" s="152" t="s">
        <v>129</v>
      </c>
      <c r="R13" s="148">
        <f t="shared" si="11"/>
        <v>174.16</v>
      </c>
      <c r="S13" s="147">
        <f t="shared" si="14"/>
        <v>10.7681</v>
      </c>
      <c r="T13" s="148">
        <f t="shared" si="2"/>
        <v>1875.372296</v>
      </c>
      <c r="U13" s="148">
        <f t="shared" si="8"/>
        <v>27664.12</v>
      </c>
      <c r="V13">
        <f t="shared" si="9"/>
        <v>587175.49513946928</v>
      </c>
      <c r="W13">
        <f t="shared" si="3"/>
        <v>21.225164405716477</v>
      </c>
      <c r="X13" s="133">
        <f t="shared" si="4"/>
        <v>1.6151644057164773</v>
      </c>
      <c r="Y13" s="158">
        <f t="shared" si="15"/>
        <v>0.46990224788880386</v>
      </c>
    </row>
    <row r="14" spans="2:25">
      <c r="B14" s="285"/>
      <c r="C14" s="286"/>
      <c r="D14" s="287"/>
      <c r="F14" s="151" t="s">
        <v>130</v>
      </c>
      <c r="G14">
        <f t="shared" si="10"/>
        <v>174.16</v>
      </c>
      <c r="H14" s="2">
        <f t="shared" si="12"/>
        <v>19.42949999999999</v>
      </c>
      <c r="I14">
        <f t="shared" si="0"/>
        <v>3383.8417199999981</v>
      </c>
      <c r="J14">
        <f t="shared" si="5"/>
        <v>27838.28</v>
      </c>
      <c r="K14">
        <f t="shared" si="6"/>
        <v>607838.16844346921</v>
      </c>
      <c r="L14">
        <f t="shared" si="7"/>
        <v>21.834616522409764</v>
      </c>
      <c r="M14" s="133">
        <f t="shared" si="1"/>
        <v>2.2246165224097645</v>
      </c>
      <c r="N14" s="160">
        <f t="shared" si="13"/>
        <v>0.64721108320066645</v>
      </c>
      <c r="P14" s="148"/>
      <c r="Q14" s="152" t="s">
        <v>131</v>
      </c>
      <c r="R14" s="148">
        <f t="shared" si="11"/>
        <v>174.16</v>
      </c>
      <c r="S14" s="147">
        <f t="shared" si="14"/>
        <v>11.5555</v>
      </c>
      <c r="T14" s="148">
        <f t="shared" si="2"/>
        <v>2012.5058799999999</v>
      </c>
      <c r="U14" s="148">
        <f t="shared" si="8"/>
        <v>27838.28</v>
      </c>
      <c r="V14">
        <f t="shared" si="9"/>
        <v>589188.00101946923</v>
      </c>
      <c r="W14">
        <f t="shared" si="3"/>
        <v>21.164669692936101</v>
      </c>
      <c r="X14" s="133">
        <f t="shared" si="4"/>
        <v>1.5546696929361019</v>
      </c>
      <c r="Y14" s="158">
        <f t="shared" si="15"/>
        <v>0.45230242868756526</v>
      </c>
    </row>
    <row r="15" spans="2:25">
      <c r="B15" s="285"/>
      <c r="C15" s="286"/>
      <c r="D15" s="287"/>
      <c r="F15" s="151" t="s">
        <v>132</v>
      </c>
      <c r="G15">
        <f t="shared" si="10"/>
        <v>174.16</v>
      </c>
      <c r="H15" s="2">
        <f t="shared" si="12"/>
        <v>18.642099999999989</v>
      </c>
      <c r="I15">
        <f t="shared" si="0"/>
        <v>3246.7081359999979</v>
      </c>
      <c r="J15">
        <f t="shared" si="5"/>
        <v>28012.44</v>
      </c>
      <c r="K15">
        <f t="shared" si="6"/>
        <v>611084.87657946919</v>
      </c>
      <c r="L15">
        <f t="shared" si="7"/>
        <v>21.814767888105042</v>
      </c>
      <c r="M15" s="133">
        <f t="shared" si="1"/>
        <v>2.2047678881050423</v>
      </c>
      <c r="N15" s="160">
        <f t="shared" si="13"/>
        <v>0.64143648970151457</v>
      </c>
      <c r="P15" s="148"/>
      <c r="Q15" s="152" t="s">
        <v>133</v>
      </c>
      <c r="R15" s="148">
        <f t="shared" si="11"/>
        <v>174.16</v>
      </c>
      <c r="S15" s="147">
        <f t="shared" si="14"/>
        <v>12.3429</v>
      </c>
      <c r="T15" s="148">
        <f t="shared" si="2"/>
        <v>2149.6394639999999</v>
      </c>
      <c r="U15" s="148">
        <f t="shared" si="8"/>
        <v>28012.44</v>
      </c>
      <c r="V15">
        <f t="shared" si="9"/>
        <v>591337.64048346924</v>
      </c>
      <c r="W15">
        <f t="shared" si="3"/>
        <v>21.109822653202265</v>
      </c>
      <c r="X15" s="133">
        <f t="shared" si="4"/>
        <v>1.4998226532022656</v>
      </c>
      <c r="Y15" s="158">
        <f t="shared" si="15"/>
        <v>0.4363456956331716</v>
      </c>
    </row>
    <row r="16" spans="2:25">
      <c r="B16" s="285"/>
      <c r="C16" s="286"/>
      <c r="D16" s="287"/>
      <c r="F16" s="151" t="s">
        <v>134</v>
      </c>
      <c r="G16">
        <f t="shared" si="10"/>
        <v>174.16</v>
      </c>
      <c r="H16" s="2">
        <f t="shared" si="12"/>
        <v>17.854699999999987</v>
      </c>
      <c r="I16">
        <f t="shared" si="0"/>
        <v>3109.5745519999978</v>
      </c>
      <c r="J16">
        <f t="shared" si="5"/>
        <v>28186.6</v>
      </c>
      <c r="K16">
        <f t="shared" si="6"/>
        <v>614194.45113146922</v>
      </c>
      <c r="L16">
        <f t="shared" si="7"/>
        <v>21.79029933129463</v>
      </c>
      <c r="M16" s="133">
        <f t="shared" si="1"/>
        <v>2.1802993312946306</v>
      </c>
      <c r="N16" s="160">
        <f t="shared" si="13"/>
        <v>0.63431781509036445</v>
      </c>
      <c r="P16" s="148"/>
      <c r="Q16" s="152" t="s">
        <v>135</v>
      </c>
      <c r="R16" s="148">
        <f t="shared" si="11"/>
        <v>174.16</v>
      </c>
      <c r="S16" s="147">
        <f t="shared" si="14"/>
        <v>13.1303</v>
      </c>
      <c r="T16" s="148">
        <f t="shared" si="2"/>
        <v>2286.773048</v>
      </c>
      <c r="U16" s="148">
        <f t="shared" si="8"/>
        <v>28186.6</v>
      </c>
      <c r="V16">
        <f t="shared" si="9"/>
        <v>593624.41353146918</v>
      </c>
      <c r="W16">
        <f t="shared" si="3"/>
        <v>21.060518598606048</v>
      </c>
      <c r="X16" s="133">
        <f t="shared" si="4"/>
        <v>1.4505185986060489</v>
      </c>
      <c r="Y16" s="158">
        <f t="shared" si="15"/>
        <v>0.42200159171235913</v>
      </c>
    </row>
    <row r="17" spans="2:25">
      <c r="B17" s="285"/>
      <c r="C17" s="286"/>
      <c r="D17" s="287"/>
      <c r="F17" s="151" t="s">
        <v>136</v>
      </c>
      <c r="G17">
        <f t="shared" si="10"/>
        <v>174.16</v>
      </c>
      <c r="H17" s="2">
        <f t="shared" si="12"/>
        <v>17.067299999999985</v>
      </c>
      <c r="I17">
        <f t="shared" si="0"/>
        <v>2972.4409679999972</v>
      </c>
      <c r="J17">
        <f t="shared" si="5"/>
        <v>28360.76</v>
      </c>
      <c r="K17">
        <f t="shared" si="6"/>
        <v>617166.8920994692</v>
      </c>
      <c r="L17">
        <f t="shared" si="7"/>
        <v>21.761295963136011</v>
      </c>
      <c r="M17" s="133">
        <f t="shared" si="1"/>
        <v>2.1512959631360111</v>
      </c>
      <c r="N17" s="160">
        <f t="shared" si="13"/>
        <v>0.62587982088627825</v>
      </c>
      <c r="P17" s="148"/>
      <c r="Q17" s="152" t="s">
        <v>137</v>
      </c>
      <c r="R17" s="148">
        <f t="shared" si="11"/>
        <v>174.16</v>
      </c>
      <c r="S17" s="147">
        <f t="shared" si="14"/>
        <v>13.9177</v>
      </c>
      <c r="T17" s="148">
        <f t="shared" si="2"/>
        <v>2423.9066320000002</v>
      </c>
      <c r="U17" s="148">
        <f t="shared" si="8"/>
        <v>28360.76</v>
      </c>
      <c r="V17">
        <f t="shared" si="9"/>
        <v>596048.32016346918</v>
      </c>
      <c r="W17">
        <f t="shared" si="3"/>
        <v>21.016655412741731</v>
      </c>
      <c r="X17" s="133">
        <f t="shared" si="4"/>
        <v>1.4066554127417312</v>
      </c>
      <c r="Y17" s="158">
        <f t="shared" si="15"/>
        <v>0.40924040804321787</v>
      </c>
    </row>
    <row r="18" spans="2:25" ht="15.75" thickBot="1">
      <c r="B18" s="288"/>
      <c r="C18" s="289"/>
      <c r="D18" s="290"/>
      <c r="F18" s="151" t="s">
        <v>138</v>
      </c>
      <c r="G18">
        <f t="shared" si="10"/>
        <v>174.16</v>
      </c>
      <c r="H18" s="2">
        <f t="shared" si="12"/>
        <v>16.279899999999984</v>
      </c>
      <c r="I18">
        <f t="shared" si="0"/>
        <v>2835.307383999997</v>
      </c>
      <c r="J18">
        <f t="shared" si="5"/>
        <v>28534.92</v>
      </c>
      <c r="K18">
        <f t="shared" si="6"/>
        <v>620002.19948346925</v>
      </c>
      <c r="L18">
        <f t="shared" si="7"/>
        <v>21.727840816917283</v>
      </c>
      <c r="M18" s="133">
        <f t="shared" si="1"/>
        <v>2.1178408169172833</v>
      </c>
      <c r="N18" s="160">
        <f t="shared" si="13"/>
        <v>0.61614666409060503</v>
      </c>
      <c r="P18" s="148"/>
      <c r="Q18" s="152" t="s">
        <v>139</v>
      </c>
      <c r="R18" s="148">
        <f t="shared" si="11"/>
        <v>174.16</v>
      </c>
      <c r="S18" s="147">
        <f t="shared" si="14"/>
        <v>14.7051</v>
      </c>
      <c r="T18" s="148">
        <f t="shared" si="2"/>
        <v>2561.0402159999999</v>
      </c>
      <c r="U18" s="148">
        <f t="shared" si="8"/>
        <v>28534.92</v>
      </c>
      <c r="V18">
        <f t="shared" si="9"/>
        <v>598609.36037946923</v>
      </c>
      <c r="W18">
        <f t="shared" si="3"/>
        <v>20.978133472232244</v>
      </c>
      <c r="X18" s="133">
        <f t="shared" si="4"/>
        <v>1.3681334722322447</v>
      </c>
      <c r="Y18" s="158">
        <f t="shared" si="15"/>
        <v>0.39803316104447239</v>
      </c>
    </row>
    <row r="19" spans="2:25" ht="15.75" thickBot="1">
      <c r="F19" s="151" t="s">
        <v>140</v>
      </c>
      <c r="G19">
        <f t="shared" si="10"/>
        <v>174.16</v>
      </c>
      <c r="H19" s="2">
        <f t="shared" si="12"/>
        <v>15.492499999999984</v>
      </c>
      <c r="I19">
        <f t="shared" si="0"/>
        <v>2698.1737999999973</v>
      </c>
      <c r="J19">
        <f t="shared" si="5"/>
        <v>28709.079999999998</v>
      </c>
      <c r="K19">
        <f t="shared" si="6"/>
        <v>622700.37328346923</v>
      </c>
      <c r="L19">
        <f t="shared" si="7"/>
        <v>21.690014911082809</v>
      </c>
      <c r="M19" s="133">
        <f t="shared" si="1"/>
        <v>2.0800149110828094</v>
      </c>
      <c r="N19" s="160">
        <f t="shared" si="13"/>
        <v>0.60514191552312735</v>
      </c>
      <c r="P19" s="148"/>
      <c r="Q19" s="152" t="s">
        <v>140</v>
      </c>
      <c r="R19" s="148">
        <f t="shared" si="11"/>
        <v>174.16</v>
      </c>
      <c r="S19" s="147">
        <f t="shared" si="14"/>
        <v>15.4925</v>
      </c>
      <c r="T19" s="148">
        <f t="shared" si="2"/>
        <v>2698.1738</v>
      </c>
      <c r="U19" s="148">
        <f t="shared" si="8"/>
        <v>28709.079999999998</v>
      </c>
      <c r="V19">
        <f t="shared" si="9"/>
        <v>601307.53417946922</v>
      </c>
      <c r="W19">
        <f t="shared" si="3"/>
        <v>20.944855571110924</v>
      </c>
      <c r="X19" s="133">
        <f t="shared" si="4"/>
        <v>1.3348555711109249</v>
      </c>
      <c r="Y19" s="158">
        <f t="shared" si="15"/>
        <v>0.38835157043574869</v>
      </c>
    </row>
    <row r="20" spans="2:25">
      <c r="B20" s="282" t="s">
        <v>141</v>
      </c>
      <c r="C20" s="283"/>
      <c r="D20" s="284"/>
      <c r="F20" s="151" t="s">
        <v>139</v>
      </c>
      <c r="G20">
        <f t="shared" si="10"/>
        <v>174.16</v>
      </c>
      <c r="H20" s="2">
        <f t="shared" si="12"/>
        <v>14.705099999999984</v>
      </c>
      <c r="I20">
        <f t="shared" si="0"/>
        <v>2561.0402159999971</v>
      </c>
      <c r="J20">
        <f t="shared" si="5"/>
        <v>28883.239999999998</v>
      </c>
      <c r="K20">
        <f t="shared" si="6"/>
        <v>625261.41349946929</v>
      </c>
      <c r="L20">
        <f t="shared" si="7"/>
        <v>21.647897309978706</v>
      </c>
      <c r="M20" s="133">
        <f t="shared" si="1"/>
        <v>2.0378973099787068</v>
      </c>
      <c r="N20" s="160">
        <f t="shared" si="13"/>
        <v>0.59288857749484003</v>
      </c>
      <c r="P20" s="148"/>
      <c r="Q20" s="152" t="s">
        <v>138</v>
      </c>
      <c r="R20" s="148">
        <f t="shared" si="11"/>
        <v>174.16</v>
      </c>
      <c r="S20" s="147">
        <f t="shared" si="14"/>
        <v>16.279900000000001</v>
      </c>
      <c r="T20" s="148">
        <f t="shared" si="2"/>
        <v>2835.3073840000002</v>
      </c>
      <c r="U20" s="148">
        <f t="shared" si="8"/>
        <v>28883.239999999998</v>
      </c>
      <c r="V20">
        <f t="shared" si="9"/>
        <v>604142.84156346926</v>
      </c>
      <c r="W20">
        <f t="shared" si="3"/>
        <v>20.916726847939128</v>
      </c>
      <c r="X20" s="133">
        <f t="shared" si="4"/>
        <v>1.3067268479391281</v>
      </c>
      <c r="Y20" s="158">
        <f t="shared" si="15"/>
        <v>0.38016803803379118</v>
      </c>
    </row>
    <row r="21" spans="2:25">
      <c r="B21" s="285"/>
      <c r="C21" s="286"/>
      <c r="D21" s="287"/>
      <c r="F21" s="151" t="s">
        <v>137</v>
      </c>
      <c r="G21">
        <f t="shared" si="10"/>
        <v>174.16</v>
      </c>
      <c r="H21" s="2">
        <f t="shared" si="12"/>
        <v>13.917699999999984</v>
      </c>
      <c r="I21">
        <f t="shared" si="0"/>
        <v>2423.906631999997</v>
      </c>
      <c r="J21">
        <f t="shared" si="5"/>
        <v>29057.399999999998</v>
      </c>
      <c r="K21">
        <f t="shared" si="6"/>
        <v>627685.32013146929</v>
      </c>
      <c r="L21">
        <f t="shared" si="7"/>
        <v>21.601565182413751</v>
      </c>
      <c r="M21" s="133">
        <f t="shared" si="1"/>
        <v>1.9915651824137512</v>
      </c>
      <c r="N21" s="160">
        <f t="shared" si="13"/>
        <v>0.57940910084516373</v>
      </c>
      <c r="P21" s="148"/>
      <c r="Q21" s="152" t="s">
        <v>136</v>
      </c>
      <c r="R21" s="148">
        <f t="shared" si="11"/>
        <v>174.16</v>
      </c>
      <c r="S21" s="147">
        <f t="shared" si="14"/>
        <v>17.067300000000003</v>
      </c>
      <c r="T21" s="148">
        <f t="shared" si="2"/>
        <v>2972.4409680000003</v>
      </c>
      <c r="U21" s="148">
        <f t="shared" si="8"/>
        <v>29057.399999999998</v>
      </c>
      <c r="V21">
        <f t="shared" si="9"/>
        <v>607115.28253146925</v>
      </c>
      <c r="W21">
        <f t="shared" si="3"/>
        <v>20.893654715544724</v>
      </c>
      <c r="X21" s="133">
        <f t="shared" si="4"/>
        <v>1.2836547155447242</v>
      </c>
      <c r="Y21" s="158">
        <f t="shared" si="15"/>
        <v>0.37345562731117549</v>
      </c>
    </row>
    <row r="22" spans="2:25">
      <c r="B22" s="285"/>
      <c r="C22" s="286"/>
      <c r="D22" s="287"/>
      <c r="F22" s="151" t="s">
        <v>135</v>
      </c>
      <c r="G22">
        <f t="shared" si="10"/>
        <v>174.16</v>
      </c>
      <c r="H22" s="2">
        <f t="shared" si="12"/>
        <v>13.130299999999984</v>
      </c>
      <c r="I22">
        <f t="shared" si="0"/>
        <v>2286.7730479999973</v>
      </c>
      <c r="J22">
        <f t="shared" si="5"/>
        <v>29231.559999999998</v>
      </c>
      <c r="K22">
        <f t="shared" si="6"/>
        <v>629972.09317946923</v>
      </c>
      <c r="L22">
        <f t="shared" si="7"/>
        <v>21.551093858126944</v>
      </c>
      <c r="M22" s="133">
        <f t="shared" si="1"/>
        <v>1.9410938581269441</v>
      </c>
      <c r="N22" s="160">
        <f t="shared" si="13"/>
        <v>0.56472540137014038</v>
      </c>
      <c r="Q22" s="151" t="s">
        <v>134</v>
      </c>
      <c r="R22">
        <f t="shared" si="11"/>
        <v>174.16</v>
      </c>
      <c r="S22" s="2">
        <f t="shared" si="14"/>
        <v>17.854700000000005</v>
      </c>
      <c r="T22" s="148">
        <f t="shared" si="2"/>
        <v>3109.5745520000009</v>
      </c>
      <c r="U22" s="148">
        <f t="shared" si="8"/>
        <v>29231.559999999998</v>
      </c>
      <c r="V22">
        <f t="shared" si="9"/>
        <v>610224.85708346928</v>
      </c>
      <c r="W22">
        <f t="shared" si="3"/>
        <v>20.875548793272387</v>
      </c>
      <c r="X22" s="133">
        <f t="shared" si="4"/>
        <v>1.2655487932723872</v>
      </c>
      <c r="Y22" s="158">
        <f t="shared" si="15"/>
        <v>0.36818804368578162</v>
      </c>
    </row>
    <row r="23" spans="2:25">
      <c r="B23" s="285"/>
      <c r="C23" s="286"/>
      <c r="D23" s="287"/>
      <c r="F23" s="151" t="s">
        <v>133</v>
      </c>
      <c r="G23">
        <f t="shared" si="10"/>
        <v>174.16</v>
      </c>
      <c r="H23" s="2">
        <f t="shared" si="12"/>
        <v>12.342899999999984</v>
      </c>
      <c r="I23">
        <f t="shared" si="0"/>
        <v>2149.6394639999971</v>
      </c>
      <c r="J23">
        <f t="shared" si="5"/>
        <v>29405.719999999998</v>
      </c>
      <c r="K23">
        <f t="shared" si="6"/>
        <v>632121.73264346924</v>
      </c>
      <c r="L23">
        <f t="shared" si="7"/>
        <v>21.496556882248395</v>
      </c>
      <c r="M23" s="133">
        <f t="shared" si="1"/>
        <v>1.8865568822483958</v>
      </c>
      <c r="N23" s="160">
        <f t="shared" si="13"/>
        <v>0.5488588756668209</v>
      </c>
      <c r="Q23" s="151" t="s">
        <v>132</v>
      </c>
      <c r="R23">
        <f t="shared" si="11"/>
        <v>174.16</v>
      </c>
      <c r="S23" s="2">
        <f t="shared" si="14"/>
        <v>18.642100000000006</v>
      </c>
      <c r="T23" s="148">
        <f t="shared" si="2"/>
        <v>3246.7081360000011</v>
      </c>
      <c r="U23" s="148">
        <f t="shared" si="8"/>
        <v>29405.719999999998</v>
      </c>
      <c r="V23">
        <f t="shared" si="9"/>
        <v>613471.56521946925</v>
      </c>
      <c r="W23">
        <f t="shared" si="3"/>
        <v>20.862320841641331</v>
      </c>
      <c r="X23" s="133">
        <f t="shared" si="4"/>
        <v>1.2523208416413318</v>
      </c>
      <c r="Y23" s="158">
        <f t="shared" si="15"/>
        <v>0.36433961551066968</v>
      </c>
    </row>
    <row r="24" spans="2:25">
      <c r="B24" s="285"/>
      <c r="C24" s="286"/>
      <c r="D24" s="287"/>
      <c r="F24" s="151" t="s">
        <v>131</v>
      </c>
      <c r="G24">
        <f t="shared" si="10"/>
        <v>174.16</v>
      </c>
      <c r="H24" s="2">
        <f t="shared" si="12"/>
        <v>11.555499999999984</v>
      </c>
      <c r="I24">
        <f t="shared" si="0"/>
        <v>2012.5058799999972</v>
      </c>
      <c r="J24">
        <f t="shared" si="5"/>
        <v>29579.879999999997</v>
      </c>
      <c r="K24">
        <f t="shared" si="6"/>
        <v>634134.23852346919</v>
      </c>
      <c r="L24">
        <f t="shared" si="7"/>
        <v>21.438026067836287</v>
      </c>
      <c r="M24" s="133">
        <f t="shared" si="1"/>
        <v>1.8280260678362872</v>
      </c>
      <c r="N24" s="160">
        <f t="shared" si="13"/>
        <v>0.53183041641792372</v>
      </c>
      <c r="Q24" s="151" t="s">
        <v>130</v>
      </c>
      <c r="R24">
        <f t="shared" si="11"/>
        <v>174.16</v>
      </c>
      <c r="S24" s="2">
        <f t="shared" si="14"/>
        <v>19.429500000000008</v>
      </c>
      <c r="T24" s="148">
        <f t="shared" si="2"/>
        <v>3383.8417200000013</v>
      </c>
      <c r="U24" s="148">
        <f t="shared" si="8"/>
        <v>29579.879999999997</v>
      </c>
      <c r="V24">
        <f t="shared" si="9"/>
        <v>616855.40693946928</v>
      </c>
      <c r="W24">
        <f t="shared" si="3"/>
        <v>20.853884699311468</v>
      </c>
      <c r="X24" s="133">
        <f t="shared" si="4"/>
        <v>1.2438846993114687</v>
      </c>
      <c r="Y24" s="158">
        <f t="shared" si="15"/>
        <v>0.36188527573554685</v>
      </c>
    </row>
    <row r="25" spans="2:25">
      <c r="B25" s="285"/>
      <c r="C25" s="286"/>
      <c r="D25" s="287"/>
      <c r="F25" s="151" t="s">
        <v>129</v>
      </c>
      <c r="G25">
        <f t="shared" si="10"/>
        <v>174.16</v>
      </c>
      <c r="H25" s="2">
        <f t="shared" si="12"/>
        <v>10.768099999999984</v>
      </c>
      <c r="I25">
        <f t="shared" si="0"/>
        <v>1875.3722959999973</v>
      </c>
      <c r="J25">
        <f t="shared" si="5"/>
        <v>29754.039999999997</v>
      </c>
      <c r="K25">
        <f t="shared" si="6"/>
        <v>636009.61081946921</v>
      </c>
      <c r="L25">
        <f t="shared" si="7"/>
        <v>21.375571546568779</v>
      </c>
      <c r="M25" s="133">
        <f t="shared" si="1"/>
        <v>1.7655715465687791</v>
      </c>
      <c r="N25" s="160">
        <f t="shared" si="13"/>
        <v>0.51366042713970983</v>
      </c>
      <c r="Q25" s="151" t="s">
        <v>128</v>
      </c>
      <c r="R25">
        <f t="shared" si="11"/>
        <v>174.16</v>
      </c>
      <c r="S25" s="2">
        <f t="shared" si="14"/>
        <v>20.21690000000001</v>
      </c>
      <c r="T25" s="148">
        <f t="shared" si="2"/>
        <v>3520.9753040000014</v>
      </c>
      <c r="U25" s="148">
        <f t="shared" si="8"/>
        <v>29754.039999999997</v>
      </c>
      <c r="V25">
        <f t="shared" si="9"/>
        <v>620376.38224346924</v>
      </c>
      <c r="W25">
        <f t="shared" si="3"/>
        <v>20.850156222263237</v>
      </c>
      <c r="X25" s="133">
        <f t="shared" si="4"/>
        <v>1.2401562222632379</v>
      </c>
      <c r="Y25" s="158">
        <f t="shared" si="15"/>
        <v>0.36080054421226371</v>
      </c>
    </row>
    <row r="26" spans="2:25" ht="15.75" thickBot="1">
      <c r="B26" s="288"/>
      <c r="C26" s="289"/>
      <c r="D26" s="290"/>
      <c r="F26" s="151" t="s">
        <v>127</v>
      </c>
      <c r="G26">
        <f t="shared" si="10"/>
        <v>174.16</v>
      </c>
      <c r="H26" s="2">
        <f t="shared" si="12"/>
        <v>9.9806999999999846</v>
      </c>
      <c r="I26">
        <f t="shared" si="0"/>
        <v>1738.2387119999973</v>
      </c>
      <c r="J26">
        <f t="shared" si="5"/>
        <v>29928.199999999997</v>
      </c>
      <c r="K26">
        <f t="shared" si="6"/>
        <v>637747.84953146917</v>
      </c>
      <c r="L26">
        <f t="shared" si="7"/>
        <v>21.30926181766592</v>
      </c>
      <c r="M26" s="133">
        <f t="shared" si="1"/>
        <v>1.6992618176659207</v>
      </c>
      <c r="N26" s="160">
        <f t="shared" si="13"/>
        <v>0.49436883641490775</v>
      </c>
      <c r="Q26" s="151" t="s">
        <v>126</v>
      </c>
      <c r="R26">
        <f t="shared" si="11"/>
        <v>174.16</v>
      </c>
      <c r="S26" s="2">
        <f t="shared" si="14"/>
        <v>21.004300000000011</v>
      </c>
      <c r="T26" s="148">
        <f t="shared" si="2"/>
        <v>3658.108888000002</v>
      </c>
      <c r="U26" s="148">
        <f t="shared" si="8"/>
        <v>29928.199999999997</v>
      </c>
      <c r="V26">
        <f t="shared" si="9"/>
        <v>624034.49113146926</v>
      </c>
      <c r="W26">
        <f t="shared" si="3"/>
        <v>20.851053225101051</v>
      </c>
      <c r="X26" s="133">
        <f t="shared" si="4"/>
        <v>1.2410532251010515</v>
      </c>
      <c r="Y26" s="158">
        <f t="shared" si="15"/>
        <v>0.36106151061813513</v>
      </c>
    </row>
    <row r="27" spans="2:25" ht="15.75" thickBot="1">
      <c r="F27" s="151" t="s">
        <v>125</v>
      </c>
      <c r="G27">
        <f t="shared" si="10"/>
        <v>174.16</v>
      </c>
      <c r="H27" s="2">
        <f t="shared" si="12"/>
        <v>9.1932999999999847</v>
      </c>
      <c r="I27">
        <f t="shared" si="0"/>
        <v>1601.1051279999972</v>
      </c>
      <c r="J27">
        <f t="shared" si="5"/>
        <v>30102.359999999997</v>
      </c>
      <c r="K27">
        <f t="shared" si="6"/>
        <v>639348.95465946919</v>
      </c>
      <c r="L27">
        <f t="shared" si="7"/>
        <v>21.239163795113381</v>
      </c>
      <c r="M27" s="133">
        <f t="shared" si="1"/>
        <v>1.6291637951133815</v>
      </c>
      <c r="N27" s="160">
        <f t="shared" si="13"/>
        <v>0.47397511163158668</v>
      </c>
      <c r="Q27" s="151" t="s">
        <v>124</v>
      </c>
      <c r="R27">
        <f t="shared" si="11"/>
        <v>174.16</v>
      </c>
      <c r="S27" s="2">
        <f t="shared" si="14"/>
        <v>21.791700000000013</v>
      </c>
      <c r="T27" s="148">
        <f t="shared" si="2"/>
        <v>3795.2424720000022</v>
      </c>
      <c r="U27" s="148">
        <f t="shared" si="8"/>
        <v>30102.359999999997</v>
      </c>
      <c r="V27">
        <f t="shared" si="9"/>
        <v>627829.73360346921</v>
      </c>
      <c r="W27">
        <f t="shared" si="3"/>
        <v>20.856495424394275</v>
      </c>
      <c r="X27" s="133">
        <f t="shared" si="4"/>
        <v>1.2464954243942756</v>
      </c>
      <c r="Y27" s="158">
        <f t="shared" si="15"/>
        <v>0.36264481797204534</v>
      </c>
    </row>
    <row r="28" spans="2:25" ht="14.45" customHeight="1">
      <c r="B28" s="261" t="s">
        <v>142</v>
      </c>
      <c r="C28" s="262"/>
      <c r="D28" s="263"/>
      <c r="F28" s="151" t="s">
        <v>122</v>
      </c>
      <c r="G28">
        <f t="shared" si="10"/>
        <v>174.16</v>
      </c>
      <c r="H28" s="2">
        <f t="shared" si="12"/>
        <v>8.4058999999999848</v>
      </c>
      <c r="I28">
        <f t="shared" si="0"/>
        <v>1463.9715439999973</v>
      </c>
      <c r="J28">
        <f t="shared" si="5"/>
        <v>30276.519999999997</v>
      </c>
      <c r="K28">
        <f t="shared" si="6"/>
        <v>640812.92620346916</v>
      </c>
      <c r="L28">
        <f t="shared" si="7"/>
        <v>21.165342853256227</v>
      </c>
      <c r="M28" s="133">
        <f t="shared" si="1"/>
        <v>1.5553428532562279</v>
      </c>
      <c r="N28" s="160">
        <f t="shared" si="13"/>
        <v>0.4524982722478228</v>
      </c>
      <c r="Q28" s="151" t="s">
        <v>121</v>
      </c>
      <c r="R28">
        <f t="shared" si="11"/>
        <v>174.16</v>
      </c>
      <c r="S28" s="2">
        <f t="shared" si="14"/>
        <v>22.579100000000015</v>
      </c>
      <c r="T28" s="148">
        <f t="shared" si="2"/>
        <v>3932.3760560000023</v>
      </c>
      <c r="U28" s="148">
        <f t="shared" si="8"/>
        <v>30276.519999999997</v>
      </c>
      <c r="V28">
        <f t="shared" si="9"/>
        <v>631762.10965946922</v>
      </c>
      <c r="W28">
        <f t="shared" si="3"/>
        <v>20.866404383973762</v>
      </c>
      <c r="X28" s="133">
        <f t="shared" si="4"/>
        <v>1.2564043839737629</v>
      </c>
      <c r="Y28" s="158">
        <f t="shared" si="15"/>
        <v>0.36552764671948473</v>
      </c>
    </row>
    <row r="29" spans="2:25">
      <c r="B29" s="264"/>
      <c r="C29" s="265"/>
      <c r="D29" s="266"/>
      <c r="F29" s="151" t="s">
        <v>120</v>
      </c>
      <c r="G29">
        <f t="shared" si="10"/>
        <v>174.16</v>
      </c>
      <c r="H29" s="2">
        <f t="shared" si="12"/>
        <v>7.618499999999985</v>
      </c>
      <c r="I29">
        <f t="shared" si="0"/>
        <v>1326.8379599999973</v>
      </c>
      <c r="J29">
        <f t="shared" si="5"/>
        <v>30450.679999999997</v>
      </c>
      <c r="K29">
        <f t="shared" si="6"/>
        <v>642139.7641634692</v>
      </c>
      <c r="L29">
        <f t="shared" si="7"/>
        <v>21.087862870828147</v>
      </c>
      <c r="M29" s="133">
        <f t="shared" si="1"/>
        <v>1.4778628708281474</v>
      </c>
      <c r="N29" s="160">
        <f t="shared" si="13"/>
        <v>0.42995690260118941</v>
      </c>
      <c r="Q29" s="151" t="s">
        <v>119</v>
      </c>
      <c r="R29">
        <f t="shared" si="11"/>
        <v>174.16</v>
      </c>
      <c r="S29" s="2">
        <f t="shared" si="14"/>
        <v>23.366500000000016</v>
      </c>
      <c r="T29" s="148">
        <f t="shared" si="2"/>
        <v>4069.5096400000029</v>
      </c>
      <c r="U29" s="148">
        <f t="shared" si="8"/>
        <v>30450.679999999997</v>
      </c>
      <c r="V29">
        <f t="shared" si="9"/>
        <v>635831.61929946917</v>
      </c>
      <c r="W29">
        <f t="shared" si="3"/>
        <v>20.880703462105583</v>
      </c>
      <c r="X29" s="133">
        <f t="shared" si="4"/>
        <v>1.2707034621055833</v>
      </c>
      <c r="Y29" s="158">
        <f t="shared" si="15"/>
        <v>0.36968769936372281</v>
      </c>
    </row>
    <row r="30" spans="2:25" ht="15.75" thickBot="1">
      <c r="B30" s="267"/>
      <c r="C30" s="268"/>
      <c r="D30" s="269"/>
      <c r="F30" s="151" t="s">
        <v>117</v>
      </c>
      <c r="G30">
        <f t="shared" si="10"/>
        <v>174.16</v>
      </c>
      <c r="H30" s="2">
        <f t="shared" si="12"/>
        <v>6.8310999999999851</v>
      </c>
      <c r="I30">
        <f t="shared" si="0"/>
        <v>1189.7043759999974</v>
      </c>
      <c r="J30">
        <f t="shared" si="5"/>
        <v>30624.839999999997</v>
      </c>
      <c r="K30">
        <f t="shared" si="6"/>
        <v>643329.46853946918</v>
      </c>
      <c r="L30">
        <f t="shared" si="7"/>
        <v>21.006786273478301</v>
      </c>
      <c r="M30" s="133">
        <f t="shared" si="1"/>
        <v>1.3967862734783019</v>
      </c>
      <c r="N30" s="160">
        <f t="shared" si="13"/>
        <v>0.40636916428115893</v>
      </c>
      <c r="Q30" s="151" t="s">
        <v>116</v>
      </c>
      <c r="R30">
        <f t="shared" si="11"/>
        <v>174.16</v>
      </c>
      <c r="S30" s="2">
        <f t="shared" si="14"/>
        <v>24.153900000000018</v>
      </c>
      <c r="T30" s="148">
        <f t="shared" si="2"/>
        <v>4206.6432240000031</v>
      </c>
      <c r="U30" s="148">
        <f t="shared" si="8"/>
        <v>30624.839999999997</v>
      </c>
      <c r="V30">
        <f t="shared" si="9"/>
        <v>640038.26252346917</v>
      </c>
      <c r="W30">
        <f t="shared" si="3"/>
        <v>20.899317760467294</v>
      </c>
      <c r="X30" s="133">
        <f t="shared" si="4"/>
        <v>1.289317760467295</v>
      </c>
      <c r="Y30" s="158">
        <f t="shared" si="15"/>
        <v>0.37510318562139644</v>
      </c>
    </row>
    <row r="31" spans="2:25" ht="14.45" customHeight="1" thickBot="1">
      <c r="B31" t="s">
        <v>143</v>
      </c>
      <c r="F31" s="151" t="s">
        <v>114</v>
      </c>
      <c r="G31">
        <f t="shared" si="10"/>
        <v>174.16</v>
      </c>
      <c r="H31" s="2">
        <f t="shared" si="12"/>
        <v>6.0436999999999852</v>
      </c>
      <c r="I31">
        <f t="shared" si="0"/>
        <v>1052.5707919999975</v>
      </c>
      <c r="J31">
        <f>J30+G31</f>
        <v>30798.999999999996</v>
      </c>
      <c r="K31">
        <f t="shared" si="6"/>
        <v>644382.03933146922</v>
      </c>
      <c r="L31">
        <f t="shared" si="7"/>
        <v>20.922174074855331</v>
      </c>
      <c r="M31" s="133">
        <f t="shared" si="1"/>
        <v>1.3121740748553314</v>
      </c>
      <c r="N31" s="160">
        <f t="shared" si="13"/>
        <v>0.38175280808173495</v>
      </c>
      <c r="Q31" s="151" t="s">
        <v>112</v>
      </c>
      <c r="R31">
        <f t="shared" si="11"/>
        <v>174.16</v>
      </c>
      <c r="S31" s="2">
        <f t="shared" si="14"/>
        <v>24.94130000000002</v>
      </c>
      <c r="T31" s="148">
        <f t="shared" si="2"/>
        <v>4343.7768080000033</v>
      </c>
      <c r="U31" s="148">
        <f t="shared" si="8"/>
        <v>30798.999999999996</v>
      </c>
      <c r="V31">
        <f t="shared" si="9"/>
        <v>644382.03933146922</v>
      </c>
      <c r="W31">
        <f t="shared" si="3"/>
        <v>20.922174074855331</v>
      </c>
      <c r="X31" s="133">
        <f t="shared" si="4"/>
        <v>1.3121740748553314</v>
      </c>
      <c r="Y31" s="158">
        <f t="shared" si="15"/>
        <v>0.38175280808173495</v>
      </c>
    </row>
    <row r="32" spans="2:25" ht="16.149999999999999" customHeight="1">
      <c r="B32" s="270" t="s">
        <v>144</v>
      </c>
      <c r="C32" s="271"/>
      <c r="D32" s="272"/>
      <c r="F32" s="151" t="s">
        <v>145</v>
      </c>
      <c r="G32">
        <f t="shared" si="10"/>
        <v>174.16</v>
      </c>
      <c r="H32" s="2">
        <f>H7</f>
        <v>24.941300000000002</v>
      </c>
      <c r="I32">
        <f t="shared" si="0"/>
        <v>4343.7768080000005</v>
      </c>
      <c r="J32">
        <f t="shared" si="5"/>
        <v>30973.159999999996</v>
      </c>
      <c r="K32">
        <f t="shared" si="6"/>
        <v>648725.81613946927</v>
      </c>
      <c r="L32">
        <f t="shared" si="7"/>
        <v>20.944773350199636</v>
      </c>
      <c r="M32" s="133">
        <f t="shared" si="1"/>
        <v>1.3347733501996366</v>
      </c>
      <c r="N32" s="161">
        <f>M32/C$2</f>
        <v>0.38832764978042644</v>
      </c>
      <c r="Q32" s="151" t="s">
        <v>146</v>
      </c>
      <c r="R32">
        <f t="shared" si="11"/>
        <v>174.16</v>
      </c>
      <c r="S32" s="2">
        <f>S7</f>
        <v>6.0437000000000003</v>
      </c>
      <c r="T32" s="148">
        <f t="shared" si="2"/>
        <v>1052.570792</v>
      </c>
      <c r="U32" s="148">
        <f t="shared" si="8"/>
        <v>30973.159999999996</v>
      </c>
      <c r="V32">
        <f t="shared" si="9"/>
        <v>645434.61012346926</v>
      </c>
      <c r="W32">
        <f t="shared" si="3"/>
        <v>20.838513413661033</v>
      </c>
      <c r="X32" s="133">
        <f t="shared" si="4"/>
        <v>1.2285134136610338</v>
      </c>
      <c r="Y32" s="159">
        <f>X32/C$2</f>
        <v>0.35741328412000833</v>
      </c>
    </row>
    <row r="33" spans="2:25" ht="15.75" thickBot="1">
      <c r="B33" s="273"/>
      <c r="C33" s="274"/>
      <c r="D33" s="275"/>
      <c r="F33" s="151" t="s">
        <v>147</v>
      </c>
      <c r="G33">
        <f t="shared" si="10"/>
        <v>174.16</v>
      </c>
      <c r="H33" s="2">
        <f t="shared" ref="H33:H56" si="16">H8</f>
        <v>24.1539</v>
      </c>
      <c r="I33">
        <f t="shared" si="0"/>
        <v>4206.6432240000004</v>
      </c>
      <c r="J33">
        <f t="shared" si="5"/>
        <v>31147.319999999996</v>
      </c>
      <c r="K33">
        <f t="shared" si="6"/>
        <v>652932.45936346927</v>
      </c>
      <c r="L33">
        <f t="shared" si="7"/>
        <v>20.962717157157321</v>
      </c>
      <c r="M33" s="133">
        <f t="shared" si="1"/>
        <v>1.352717157157322</v>
      </c>
      <c r="N33" s="161">
        <f t="shared" ref="N33:N56" si="17">M33/C$2</f>
        <v>0.39354806894968053</v>
      </c>
      <c r="Q33" s="151" t="s">
        <v>148</v>
      </c>
      <c r="R33">
        <f t="shared" si="11"/>
        <v>174.16</v>
      </c>
      <c r="S33" s="2">
        <f t="shared" ref="S33:S56" si="18">S32+C$9</f>
        <v>6.8311000000000002</v>
      </c>
      <c r="T33" s="148">
        <f t="shared" si="2"/>
        <v>1189.7043759999999</v>
      </c>
      <c r="U33" s="148">
        <f t="shared" si="8"/>
        <v>31147.319999999996</v>
      </c>
      <c r="V33">
        <f t="shared" si="9"/>
        <v>646624.31449946924</v>
      </c>
      <c r="W33">
        <f t="shared" si="3"/>
        <v>20.76019106939118</v>
      </c>
      <c r="X33" s="133">
        <f t="shared" si="4"/>
        <v>1.1501910693911803</v>
      </c>
      <c r="Y33" s="159">
        <f t="shared" ref="Y33:Y56" si="19">X33/C$2</f>
        <v>0.33462684485595151</v>
      </c>
    </row>
    <row r="34" spans="2:25" ht="14.45" customHeight="1" thickBot="1">
      <c r="B34" t="s">
        <v>149</v>
      </c>
      <c r="F34" s="151" t="s">
        <v>150</v>
      </c>
      <c r="G34">
        <f t="shared" si="10"/>
        <v>174.16</v>
      </c>
      <c r="H34" s="2">
        <f t="shared" si="16"/>
        <v>23.366499999999998</v>
      </c>
      <c r="I34">
        <f t="shared" si="0"/>
        <v>4069.5096399999998</v>
      </c>
      <c r="J34">
        <f t="shared" si="5"/>
        <v>31321.479999999996</v>
      </c>
      <c r="K34">
        <f t="shared" si="6"/>
        <v>657001.96900346922</v>
      </c>
      <c r="L34">
        <f t="shared" si="7"/>
        <v>20.976083154546632</v>
      </c>
      <c r="M34" s="133">
        <f t="shared" si="1"/>
        <v>1.366083154546633</v>
      </c>
      <c r="N34" s="161">
        <f t="shared" si="17"/>
        <v>0.39743665898812125</v>
      </c>
      <c r="Q34" s="151" t="s">
        <v>151</v>
      </c>
      <c r="R34">
        <f t="shared" si="11"/>
        <v>174.16</v>
      </c>
      <c r="S34" s="2">
        <f t="shared" si="18"/>
        <v>7.6185</v>
      </c>
      <c r="T34" s="148">
        <f t="shared" si="2"/>
        <v>1326.8379600000001</v>
      </c>
      <c r="U34" s="148">
        <f t="shared" si="8"/>
        <v>31321.479999999996</v>
      </c>
      <c r="V34">
        <f t="shared" si="9"/>
        <v>647951.15245946927</v>
      </c>
      <c r="W34">
        <f t="shared" si="3"/>
        <v>20.687117992491714</v>
      </c>
      <c r="X34" s="133">
        <f t="shared" si="4"/>
        <v>1.0771179924917149</v>
      </c>
      <c r="Y34" s="159">
        <f t="shared" si="19"/>
        <v>0.31336758296677036</v>
      </c>
    </row>
    <row r="35" spans="2:25" ht="14.45" customHeight="1">
      <c r="B35" s="276" t="s">
        <v>152</v>
      </c>
      <c r="C35" s="277"/>
      <c r="D35" s="278"/>
      <c r="F35" s="151" t="s">
        <v>153</v>
      </c>
      <c r="G35">
        <f t="shared" si="10"/>
        <v>174.16</v>
      </c>
      <c r="H35" s="2">
        <f t="shared" si="16"/>
        <v>22.579099999999997</v>
      </c>
      <c r="I35">
        <f t="shared" si="0"/>
        <v>3932.3760559999992</v>
      </c>
      <c r="J35">
        <f t="shared" si="5"/>
        <v>31495.639999999996</v>
      </c>
      <c r="K35">
        <f t="shared" si="6"/>
        <v>660934.34505946923</v>
      </c>
      <c r="L35">
        <f t="shared" si="7"/>
        <v>20.984947283480167</v>
      </c>
      <c r="M35" s="133">
        <f t="shared" si="1"/>
        <v>1.3749472834801679</v>
      </c>
      <c r="N35" s="161">
        <f t="shared" si="17"/>
        <v>0.40001551355964493</v>
      </c>
      <c r="Q35" s="151" t="s">
        <v>154</v>
      </c>
      <c r="R35">
        <f t="shared" si="11"/>
        <v>174.16</v>
      </c>
      <c r="S35" s="2">
        <f t="shared" si="18"/>
        <v>8.4059000000000008</v>
      </c>
      <c r="T35" s="148">
        <f t="shared" si="2"/>
        <v>1463.9715440000002</v>
      </c>
      <c r="U35" s="148">
        <f t="shared" si="8"/>
        <v>31495.639999999996</v>
      </c>
      <c r="V35">
        <f t="shared" si="9"/>
        <v>649415.12400346925</v>
      </c>
      <c r="W35">
        <f t="shared" si="3"/>
        <v>20.619207103061544</v>
      </c>
      <c r="X35" s="133">
        <f t="shared" si="4"/>
        <v>1.009207103061545</v>
      </c>
      <c r="Y35" s="159">
        <f t="shared" si="19"/>
        <v>0.29361016416381636</v>
      </c>
    </row>
    <row r="36" spans="2:25" ht="15.75" thickBot="1">
      <c r="B36" s="279"/>
      <c r="C36" s="280"/>
      <c r="D36" s="281"/>
      <c r="F36" s="151" t="s">
        <v>155</v>
      </c>
      <c r="G36">
        <f t="shared" si="10"/>
        <v>174.16</v>
      </c>
      <c r="H36" s="2">
        <f t="shared" si="16"/>
        <v>21.791699999999995</v>
      </c>
      <c r="I36">
        <f t="shared" si="0"/>
        <v>3795.242471999999</v>
      </c>
      <c r="J36">
        <f t="shared" si="5"/>
        <v>31669.799999999996</v>
      </c>
      <c r="K36">
        <f t="shared" si="6"/>
        <v>664729.58753146918</v>
      </c>
      <c r="L36">
        <f t="shared" si="7"/>
        <v>20.989383814595271</v>
      </c>
      <c r="M36" s="133">
        <f t="shared" si="1"/>
        <v>1.3793838145952719</v>
      </c>
      <c r="N36" s="161">
        <f t="shared" si="17"/>
        <v>0.40130624033423057</v>
      </c>
      <c r="Q36" s="151" t="s">
        <v>156</v>
      </c>
      <c r="R36">
        <f t="shared" si="11"/>
        <v>174.16</v>
      </c>
      <c r="S36" s="2">
        <f t="shared" si="18"/>
        <v>9.1933000000000007</v>
      </c>
      <c r="T36" s="148">
        <f t="shared" si="2"/>
        <v>1601.1051280000001</v>
      </c>
      <c r="U36" s="148">
        <f t="shared" si="8"/>
        <v>31669.799999999996</v>
      </c>
      <c r="V36">
        <f t="shared" si="9"/>
        <v>651016.22913146927</v>
      </c>
      <c r="W36">
        <f t="shared" si="3"/>
        <v>20.556373236694558</v>
      </c>
      <c r="X36" s="133">
        <f t="shared" si="4"/>
        <v>0.94637323669455853</v>
      </c>
      <c r="Y36" s="159">
        <f t="shared" si="19"/>
        <v>0.27532981143632157</v>
      </c>
    </row>
    <row r="37" spans="2:25" ht="15.75" thickBot="1">
      <c r="F37" s="151" t="s">
        <v>157</v>
      </c>
      <c r="G37">
        <f t="shared" si="10"/>
        <v>174.16</v>
      </c>
      <c r="H37" s="2">
        <f t="shared" si="16"/>
        <v>21.004299999999994</v>
      </c>
      <c r="I37">
        <f t="shared" si="0"/>
        <v>3658.1088879999988</v>
      </c>
      <c r="J37">
        <f t="shared" si="5"/>
        <v>31843.959999999995</v>
      </c>
      <c r="K37">
        <f t="shared" si="6"/>
        <v>668387.6964194692</v>
      </c>
      <c r="L37">
        <f t="shared" si="7"/>
        <v>20.989465393734612</v>
      </c>
      <c r="M37" s="133">
        <f t="shared" si="1"/>
        <v>1.3794653937346126</v>
      </c>
      <c r="N37" s="161">
        <f t="shared" si="17"/>
        <v>0.40132997427785966</v>
      </c>
      <c r="Q37" s="151" t="s">
        <v>158</v>
      </c>
      <c r="R37">
        <f t="shared" si="11"/>
        <v>174.16</v>
      </c>
      <c r="S37" s="2">
        <f t="shared" si="18"/>
        <v>9.9807000000000006</v>
      </c>
      <c r="T37" s="148">
        <f t="shared" si="2"/>
        <v>1738.2387120000001</v>
      </c>
      <c r="U37" s="148">
        <f t="shared" si="8"/>
        <v>31843.959999999995</v>
      </c>
      <c r="V37">
        <f t="shared" si="9"/>
        <v>652754.46784346923</v>
      </c>
      <c r="W37">
        <f t="shared" si="3"/>
        <v>20.498533092098764</v>
      </c>
      <c r="X37" s="133">
        <f t="shared" si="4"/>
        <v>0.88853309209876485</v>
      </c>
      <c r="Y37" s="159">
        <f t="shared" si="19"/>
        <v>0.25850228981215578</v>
      </c>
    </row>
    <row r="38" spans="2:25">
      <c r="B38" s="255" t="s">
        <v>159</v>
      </c>
      <c r="C38" s="256"/>
      <c r="D38" s="257"/>
      <c r="F38" s="151" t="s">
        <v>160</v>
      </c>
      <c r="G38">
        <f t="shared" si="10"/>
        <v>174.16</v>
      </c>
      <c r="H38" s="2">
        <f t="shared" si="16"/>
        <v>20.216899999999992</v>
      </c>
      <c r="I38">
        <f t="shared" si="0"/>
        <v>3520.9753039999987</v>
      </c>
      <c r="J38">
        <f t="shared" si="5"/>
        <v>32018.119999999995</v>
      </c>
      <c r="K38">
        <f t="shared" si="6"/>
        <v>671908.67172346916</v>
      </c>
      <c r="L38">
        <f t="shared" si="7"/>
        <v>20.985263086135891</v>
      </c>
      <c r="M38" s="133">
        <f t="shared" si="1"/>
        <v>1.3752630861358917</v>
      </c>
      <c r="N38" s="161">
        <f t="shared" si="17"/>
        <v>0.40010739050869643</v>
      </c>
      <c r="Q38" s="151" t="s">
        <v>161</v>
      </c>
      <c r="R38">
        <f t="shared" si="11"/>
        <v>174.16</v>
      </c>
      <c r="S38" s="2">
        <f t="shared" si="18"/>
        <v>10.7681</v>
      </c>
      <c r="T38" s="148">
        <f t="shared" si="2"/>
        <v>1875.372296</v>
      </c>
      <c r="U38" s="148">
        <f t="shared" si="8"/>
        <v>32018.119999999995</v>
      </c>
      <c r="V38">
        <f t="shared" si="9"/>
        <v>654629.84013946925</v>
      </c>
      <c r="W38">
        <f t="shared" si="3"/>
        <v>20.445605180425002</v>
      </c>
      <c r="X38" s="133">
        <f t="shared" si="4"/>
        <v>0.8356051804250022</v>
      </c>
      <c r="Y38" s="159">
        <f t="shared" si="19"/>
        <v>0.24310389161594956</v>
      </c>
    </row>
    <row r="39" spans="2:25" ht="15.75" thickBot="1">
      <c r="B39" s="258"/>
      <c r="C39" s="259"/>
      <c r="D39" s="260"/>
      <c r="F39" s="151" t="s">
        <v>162</v>
      </c>
      <c r="G39">
        <f t="shared" ref="G39:G56" si="20">C$8/2*C$7</f>
        <v>174.16</v>
      </c>
      <c r="H39" s="2">
        <f t="shared" si="16"/>
        <v>19.42949999999999</v>
      </c>
      <c r="I39">
        <f t="shared" si="0"/>
        <v>3383.8417199999981</v>
      </c>
      <c r="J39">
        <f t="shared" si="5"/>
        <v>32192.279999999995</v>
      </c>
      <c r="K39">
        <f t="shared" si="6"/>
        <v>675292.51344346919</v>
      </c>
      <c r="L39">
        <f t="shared" si="7"/>
        <v>20.976846419187126</v>
      </c>
      <c r="M39" s="133">
        <f t="shared" si="1"/>
        <v>1.3668464191871266</v>
      </c>
      <c r="N39" s="161">
        <f t="shared" si="17"/>
        <v>0.39765871673594716</v>
      </c>
      <c r="Q39" s="151" t="s">
        <v>163</v>
      </c>
      <c r="R39">
        <f t="shared" ref="R39:R56" si="21">C$8*C$7/2</f>
        <v>174.16</v>
      </c>
      <c r="S39" s="2">
        <f t="shared" si="18"/>
        <v>11.5555</v>
      </c>
      <c r="T39" s="148">
        <f t="shared" si="2"/>
        <v>2012.5058799999999</v>
      </c>
      <c r="U39" s="148">
        <f t="shared" si="8"/>
        <v>32192.279999999995</v>
      </c>
      <c r="V39">
        <f t="shared" si="9"/>
        <v>656642.3460194692</v>
      </c>
      <c r="W39">
        <f t="shared" si="3"/>
        <v>20.39750977624043</v>
      </c>
      <c r="X39" s="133">
        <f t="shared" si="4"/>
        <v>0.78750977624043017</v>
      </c>
      <c r="Y39" s="159">
        <f t="shared" si="19"/>
        <v>0.2291114222057376</v>
      </c>
    </row>
    <row r="40" spans="2:25">
      <c r="F40" s="151" t="s">
        <v>164</v>
      </c>
      <c r="G40">
        <f t="shared" si="20"/>
        <v>174.16</v>
      </c>
      <c r="H40" s="2">
        <f t="shared" si="16"/>
        <v>18.642099999999989</v>
      </c>
      <c r="I40">
        <f t="shared" si="0"/>
        <v>3246.7081359999979</v>
      </c>
      <c r="J40">
        <f t="shared" si="5"/>
        <v>32366.439999999995</v>
      </c>
      <c r="K40">
        <f t="shared" si="6"/>
        <v>678539.22157946916</v>
      </c>
      <c r="L40">
        <f t="shared" si="7"/>
        <v>20.964283423801607</v>
      </c>
      <c r="M40" s="133">
        <f t="shared" si="1"/>
        <v>1.3542834238016077</v>
      </c>
      <c r="N40" s="161">
        <f t="shared" si="17"/>
        <v>0.39400374529713977</v>
      </c>
      <c r="Q40" s="151" t="s">
        <v>165</v>
      </c>
      <c r="R40">
        <f t="shared" si="21"/>
        <v>174.16</v>
      </c>
      <c r="S40" s="2">
        <f t="shared" si="18"/>
        <v>12.3429</v>
      </c>
      <c r="T40" s="148">
        <f t="shared" si="2"/>
        <v>2149.6394639999999</v>
      </c>
      <c r="U40" s="148">
        <f t="shared" si="8"/>
        <v>32366.439999999995</v>
      </c>
      <c r="V40">
        <f t="shared" si="9"/>
        <v>658791.98548346921</v>
      </c>
      <c r="W40">
        <f t="shared" si="3"/>
        <v>20.354168870084855</v>
      </c>
      <c r="X40" s="133">
        <f t="shared" si="4"/>
        <v>0.74416887008485588</v>
      </c>
      <c r="Y40" s="159">
        <f t="shared" si="19"/>
        <v>0.21650218617009834</v>
      </c>
    </row>
    <row r="41" spans="2:25">
      <c r="F41" s="151" t="s">
        <v>166</v>
      </c>
      <c r="G41">
        <f t="shared" si="20"/>
        <v>174.16</v>
      </c>
      <c r="H41" s="2">
        <f t="shared" si="16"/>
        <v>17.854699999999987</v>
      </c>
      <c r="I41">
        <f t="shared" si="0"/>
        <v>3109.5745519999978</v>
      </c>
      <c r="J41">
        <f t="shared" si="5"/>
        <v>32540.599999999995</v>
      </c>
      <c r="K41">
        <f t="shared" si="6"/>
        <v>681648.79613146919</v>
      </c>
      <c r="L41">
        <f t="shared" si="7"/>
        <v>20.947640674464186</v>
      </c>
      <c r="M41" s="133">
        <f t="shared" si="1"/>
        <v>1.3376406744641862</v>
      </c>
      <c r="N41" s="161">
        <f t="shared" si="17"/>
        <v>0.38916184480885163</v>
      </c>
      <c r="Q41" s="151" t="s">
        <v>167</v>
      </c>
      <c r="R41">
        <f t="shared" si="21"/>
        <v>174.16</v>
      </c>
      <c r="S41" s="2">
        <f t="shared" si="18"/>
        <v>13.1303</v>
      </c>
      <c r="T41" s="148">
        <f t="shared" si="2"/>
        <v>2286.773048</v>
      </c>
      <c r="U41" s="148">
        <f t="shared" si="8"/>
        <v>32540.599999999995</v>
      </c>
      <c r="V41">
        <f t="shared" si="9"/>
        <v>661078.75853146915</v>
      </c>
      <c r="W41">
        <f t="shared" si="3"/>
        <v>20.315506122550577</v>
      </c>
      <c r="X41" s="133">
        <f t="shared" si="4"/>
        <v>0.70550612255057743</v>
      </c>
      <c r="Y41" s="159">
        <f t="shared" si="19"/>
        <v>0.20525397396853259</v>
      </c>
    </row>
    <row r="42" spans="2:25" ht="45">
      <c r="B42" s="22" t="s">
        <v>168</v>
      </c>
      <c r="C42">
        <v>5.65</v>
      </c>
      <c r="F42" s="151" t="s">
        <v>169</v>
      </c>
      <c r="G42">
        <f t="shared" si="20"/>
        <v>174.16</v>
      </c>
      <c r="H42" s="2">
        <f t="shared" si="16"/>
        <v>17.067299999999985</v>
      </c>
      <c r="I42">
        <f t="shared" si="0"/>
        <v>2972.4409679999972</v>
      </c>
      <c r="J42">
        <f t="shared" si="5"/>
        <v>32714.759999999995</v>
      </c>
      <c r="K42">
        <f t="shared" si="6"/>
        <v>684621.23709946917</v>
      </c>
      <c r="L42">
        <f t="shared" si="7"/>
        <v>20.926983327998411</v>
      </c>
      <c r="M42" s="133">
        <f t="shared" si="1"/>
        <v>1.3169833279984111</v>
      </c>
      <c r="N42" s="161">
        <f t="shared" si="17"/>
        <v>0.38315197144529173</v>
      </c>
      <c r="Q42" s="151" t="s">
        <v>170</v>
      </c>
      <c r="R42">
        <f t="shared" si="21"/>
        <v>174.16</v>
      </c>
      <c r="S42" s="2">
        <f t="shared" si="18"/>
        <v>13.9177</v>
      </c>
      <c r="T42" s="148">
        <f t="shared" si="2"/>
        <v>2423.9066320000002</v>
      </c>
      <c r="U42" s="148">
        <f t="shared" si="8"/>
        <v>32714.759999999995</v>
      </c>
      <c r="V42">
        <f t="shared" si="9"/>
        <v>663502.66516346915</v>
      </c>
      <c r="W42">
        <f t="shared" si="3"/>
        <v>20.281446819829007</v>
      </c>
      <c r="X42" s="133">
        <f t="shared" si="4"/>
        <v>0.67144681982900778</v>
      </c>
      <c r="Y42" s="159">
        <f t="shared" si="19"/>
        <v>0.19534504899857494</v>
      </c>
    </row>
    <row r="43" spans="2:25">
      <c r="F43" s="151" t="s">
        <v>171</v>
      </c>
      <c r="G43">
        <f t="shared" si="20"/>
        <v>174.16</v>
      </c>
      <c r="H43" s="2">
        <f t="shared" si="16"/>
        <v>16.279899999999984</v>
      </c>
      <c r="I43">
        <f t="shared" si="0"/>
        <v>2835.307383999997</v>
      </c>
      <c r="J43">
        <f t="shared" si="5"/>
        <v>32888.92</v>
      </c>
      <c r="K43">
        <f t="shared" si="6"/>
        <v>687456.54448346922</v>
      </c>
      <c r="L43">
        <f t="shared" si="7"/>
        <v>20.902375161101954</v>
      </c>
      <c r="M43" s="133">
        <f t="shared" si="1"/>
        <v>1.2923751611019547</v>
      </c>
      <c r="N43" s="161">
        <f t="shared" si="17"/>
        <v>0.37599267985853946</v>
      </c>
      <c r="Q43" s="151" t="s">
        <v>172</v>
      </c>
      <c r="R43">
        <f t="shared" si="21"/>
        <v>174.16</v>
      </c>
      <c r="S43" s="2">
        <f t="shared" si="18"/>
        <v>14.7051</v>
      </c>
      <c r="T43" s="148">
        <f t="shared" si="2"/>
        <v>2561.0402159999999</v>
      </c>
      <c r="U43" s="148">
        <f t="shared" si="8"/>
        <v>32888.92</v>
      </c>
      <c r="V43">
        <f t="shared" si="9"/>
        <v>666063.7053794692</v>
      </c>
      <c r="W43">
        <f t="shared" si="3"/>
        <v>20.251917830669697</v>
      </c>
      <c r="X43" s="133">
        <f t="shared" si="4"/>
        <v>0.64191783066969776</v>
      </c>
      <c r="Y43" s="159">
        <f t="shared" si="19"/>
        <v>0.1867541350738165</v>
      </c>
    </row>
    <row r="44" spans="2:25">
      <c r="B44" t="s">
        <v>173</v>
      </c>
      <c r="F44" s="151" t="s">
        <v>174</v>
      </c>
      <c r="G44">
        <f t="shared" si="20"/>
        <v>174.16</v>
      </c>
      <c r="H44" s="2">
        <f t="shared" si="16"/>
        <v>15.492499999999984</v>
      </c>
      <c r="I44">
        <f t="shared" si="0"/>
        <v>2698.1737999999973</v>
      </c>
      <c r="J44">
        <f t="shared" si="5"/>
        <v>33063.08</v>
      </c>
      <c r="K44">
        <f t="shared" si="6"/>
        <v>690154.71828346921</v>
      </c>
      <c r="L44">
        <f t="shared" si="7"/>
        <v>20.873878606695722</v>
      </c>
      <c r="M44" s="133">
        <f t="shared" si="1"/>
        <v>1.2638786066957231</v>
      </c>
      <c r="N44" s="161">
        <f t="shared" si="17"/>
        <v>0.36770213375364685</v>
      </c>
      <c r="Q44" s="151" t="s">
        <v>174</v>
      </c>
      <c r="R44">
        <f t="shared" si="21"/>
        <v>174.16</v>
      </c>
      <c r="S44" s="2">
        <f t="shared" si="18"/>
        <v>15.4925</v>
      </c>
      <c r="T44" s="148">
        <f t="shared" si="2"/>
        <v>2698.1738</v>
      </c>
      <c r="U44" s="148">
        <f t="shared" si="8"/>
        <v>33063.08</v>
      </c>
      <c r="V44">
        <f t="shared" si="9"/>
        <v>668761.87917946919</v>
      </c>
      <c r="W44">
        <f t="shared" si="3"/>
        <v>20.226847564699632</v>
      </c>
      <c r="X44" s="133">
        <f t="shared" si="4"/>
        <v>0.61684756469963276</v>
      </c>
      <c r="Y44" s="159">
        <f t="shared" si="19"/>
        <v>0.17946040429767426</v>
      </c>
    </row>
    <row r="45" spans="2:25">
      <c r="F45" s="151" t="s">
        <v>172</v>
      </c>
      <c r="G45">
        <f t="shared" si="20"/>
        <v>174.16</v>
      </c>
      <c r="H45" s="2">
        <f t="shared" si="16"/>
        <v>14.705099999999984</v>
      </c>
      <c r="I45">
        <f t="shared" si="0"/>
        <v>2561.0402159999971</v>
      </c>
      <c r="J45">
        <f t="shared" si="5"/>
        <v>33237.240000000005</v>
      </c>
      <c r="K45">
        <f t="shared" si="6"/>
        <v>692715.75849946926</v>
      </c>
      <c r="L45">
        <f t="shared" si="7"/>
        <v>20.841554789130178</v>
      </c>
      <c r="M45" s="133">
        <f t="shared" si="1"/>
        <v>1.231554789130179</v>
      </c>
      <c r="N45" s="161">
        <f t="shared" si="17"/>
        <v>0.35829811613126805</v>
      </c>
      <c r="Q45" s="151" t="s">
        <v>171</v>
      </c>
      <c r="R45">
        <f t="shared" si="21"/>
        <v>174.16</v>
      </c>
      <c r="S45" s="2">
        <f t="shared" si="18"/>
        <v>16.279900000000001</v>
      </c>
      <c r="T45" s="148">
        <f t="shared" si="2"/>
        <v>2835.3073840000002</v>
      </c>
      <c r="U45" s="148">
        <f t="shared" si="8"/>
        <v>33237.240000000005</v>
      </c>
      <c r="V45">
        <f t="shared" si="9"/>
        <v>671597.18656346924</v>
      </c>
      <c r="W45">
        <f t="shared" si="3"/>
        <v>20.206165932052997</v>
      </c>
      <c r="X45" s="133">
        <f t="shared" si="4"/>
        <v>0.5961659320529975</v>
      </c>
      <c r="Y45" s="159">
        <f t="shared" si="19"/>
        <v>0.17344346531841701</v>
      </c>
    </row>
    <row r="46" spans="2:25">
      <c r="F46" s="151" t="s">
        <v>170</v>
      </c>
      <c r="G46">
        <f t="shared" si="20"/>
        <v>174.16</v>
      </c>
      <c r="H46" s="2">
        <f t="shared" si="16"/>
        <v>13.917699999999984</v>
      </c>
      <c r="I46">
        <f t="shared" si="0"/>
        <v>2423.906631999997</v>
      </c>
      <c r="J46">
        <f t="shared" si="5"/>
        <v>33411.400000000009</v>
      </c>
      <c r="K46">
        <f t="shared" si="6"/>
        <v>695139.66513146926</v>
      </c>
      <c r="L46">
        <f t="shared" si="7"/>
        <v>20.805463558290555</v>
      </c>
      <c r="M46" s="133">
        <f t="shared" si="1"/>
        <v>1.1954635582905553</v>
      </c>
      <c r="N46" s="161">
        <f t="shared" si="17"/>
        <v>0.34779803920994073</v>
      </c>
      <c r="Q46" s="151" t="s">
        <v>169</v>
      </c>
      <c r="R46">
        <f t="shared" si="21"/>
        <v>174.16</v>
      </c>
      <c r="S46" s="2">
        <f t="shared" si="18"/>
        <v>17.067300000000003</v>
      </c>
      <c r="T46" s="148">
        <f t="shared" si="2"/>
        <v>2972.4409680000003</v>
      </c>
      <c r="U46" s="148">
        <f t="shared" si="8"/>
        <v>33411.400000000009</v>
      </c>
      <c r="V46">
        <f t="shared" si="9"/>
        <v>674569.62753146922</v>
      </c>
      <c r="W46">
        <f t="shared" si="3"/>
        <v>20.189804304263486</v>
      </c>
      <c r="X46" s="133">
        <f t="shared" si="4"/>
        <v>0.57980430426348661</v>
      </c>
      <c r="Y46" s="159">
        <f t="shared" si="19"/>
        <v>0.16868335195150524</v>
      </c>
    </row>
    <row r="47" spans="2:25">
      <c r="F47" s="151" t="s">
        <v>167</v>
      </c>
      <c r="G47">
        <f t="shared" si="20"/>
        <v>174.16</v>
      </c>
      <c r="H47" s="2">
        <f t="shared" si="16"/>
        <v>13.130299999999984</v>
      </c>
      <c r="I47">
        <f t="shared" si="0"/>
        <v>2286.7730479999973</v>
      </c>
      <c r="J47">
        <f t="shared" si="5"/>
        <v>33585.560000000012</v>
      </c>
      <c r="K47">
        <f t="shared" si="6"/>
        <v>697426.4381794692</v>
      </c>
      <c r="L47">
        <f t="shared" si="7"/>
        <v>20.765663522640949</v>
      </c>
      <c r="M47" s="133">
        <f t="shared" si="1"/>
        <v>1.1556635226409497</v>
      </c>
      <c r="N47" s="161">
        <f t="shared" si="17"/>
        <v>0.33621895403965557</v>
      </c>
      <c r="Q47" s="151" t="s">
        <v>166</v>
      </c>
      <c r="R47">
        <f t="shared" si="21"/>
        <v>174.16</v>
      </c>
      <c r="S47" s="2">
        <f t="shared" si="18"/>
        <v>17.854700000000005</v>
      </c>
      <c r="T47" s="148">
        <f t="shared" si="2"/>
        <v>3109.5745520000009</v>
      </c>
      <c r="U47" s="148">
        <f t="shared" si="8"/>
        <v>33585.560000000012</v>
      </c>
      <c r="V47">
        <f t="shared" si="9"/>
        <v>677679.20208346925</v>
      </c>
      <c r="W47">
        <f t="shared" si="3"/>
        <v>20.177695476373447</v>
      </c>
      <c r="X47" s="133">
        <f t="shared" si="4"/>
        <v>0.56769547637344786</v>
      </c>
      <c r="Y47" s="159">
        <f t="shared" si="19"/>
        <v>0.16516051215594657</v>
      </c>
    </row>
    <row r="48" spans="2:25">
      <c r="F48" s="151" t="s">
        <v>165</v>
      </c>
      <c r="G48">
        <f t="shared" si="20"/>
        <v>174.16</v>
      </c>
      <c r="H48" s="2">
        <f t="shared" si="16"/>
        <v>12.342899999999984</v>
      </c>
      <c r="I48">
        <f t="shared" si="0"/>
        <v>2149.6394639999971</v>
      </c>
      <c r="J48">
        <f t="shared" si="5"/>
        <v>33759.720000000016</v>
      </c>
      <c r="K48">
        <f t="shared" si="6"/>
        <v>699576.07764346921</v>
      </c>
      <c r="L48">
        <f t="shared" si="7"/>
        <v>20.722212081245605</v>
      </c>
      <c r="M48" s="133">
        <f t="shared" si="1"/>
        <v>1.1122120812456053</v>
      </c>
      <c r="N48" s="161">
        <f t="shared" si="17"/>
        <v>0.32357755981785574</v>
      </c>
      <c r="Q48" s="151" t="s">
        <v>164</v>
      </c>
      <c r="R48">
        <f t="shared" si="21"/>
        <v>174.16</v>
      </c>
      <c r="S48" s="2">
        <f t="shared" si="18"/>
        <v>18.642100000000006</v>
      </c>
      <c r="T48" s="148">
        <f t="shared" si="2"/>
        <v>3246.7081360000011</v>
      </c>
      <c r="U48" s="148">
        <f t="shared" si="8"/>
        <v>33759.720000000016</v>
      </c>
      <c r="V48">
        <f t="shared" si="9"/>
        <v>680925.91021946922</v>
      </c>
      <c r="W48">
        <f t="shared" si="3"/>
        <v>20.169773630215797</v>
      </c>
      <c r="X48" s="133">
        <f t="shared" si="4"/>
        <v>0.55977363021579762</v>
      </c>
      <c r="Y48" s="159">
        <f t="shared" si="19"/>
        <v>0.16285579735184721</v>
      </c>
    </row>
    <row r="49" spans="5:25">
      <c r="F49" s="151" t="s">
        <v>163</v>
      </c>
      <c r="G49">
        <f t="shared" si="20"/>
        <v>174.16</v>
      </c>
      <c r="H49" s="2">
        <f t="shared" si="16"/>
        <v>11.555499999999984</v>
      </c>
      <c r="I49">
        <f t="shared" si="0"/>
        <v>2012.5058799999972</v>
      </c>
      <c r="J49">
        <f t="shared" si="5"/>
        <v>33933.880000000019</v>
      </c>
      <c r="K49">
        <f t="shared" si="6"/>
        <v>701588.58352346916</v>
      </c>
      <c r="L49">
        <f t="shared" si="7"/>
        <v>20.67516545480413</v>
      </c>
      <c r="M49" s="133">
        <f t="shared" si="1"/>
        <v>1.0651654548041307</v>
      </c>
      <c r="N49" s="161">
        <f t="shared" si="17"/>
        <v>0.30989021291856156</v>
      </c>
      <c r="Q49" s="151" t="s">
        <v>162</v>
      </c>
      <c r="R49">
        <f t="shared" si="21"/>
        <v>174.16</v>
      </c>
      <c r="S49" s="2">
        <f t="shared" si="18"/>
        <v>19.429500000000008</v>
      </c>
      <c r="T49" s="148">
        <f t="shared" si="2"/>
        <v>3383.8417200000013</v>
      </c>
      <c r="U49" s="148">
        <f t="shared" si="8"/>
        <v>33933.880000000019</v>
      </c>
      <c r="V49">
        <f t="shared" si="9"/>
        <v>684309.75193946925</v>
      </c>
      <c r="W49">
        <f t="shared" si="3"/>
        <v>20.165974298826686</v>
      </c>
      <c r="X49" s="133">
        <f t="shared" si="4"/>
        <v>0.55597429882668692</v>
      </c>
      <c r="Y49" s="159">
        <f t="shared" si="19"/>
        <v>0.16175045206693447</v>
      </c>
    </row>
    <row r="50" spans="5:25">
      <c r="F50" s="151" t="s">
        <v>161</v>
      </c>
      <c r="G50">
        <f t="shared" si="20"/>
        <v>174.16</v>
      </c>
      <c r="H50" s="2">
        <f t="shared" si="16"/>
        <v>10.768099999999984</v>
      </c>
      <c r="I50">
        <f t="shared" si="0"/>
        <v>1875.3722959999973</v>
      </c>
      <c r="J50">
        <f t="shared" si="5"/>
        <v>34108.040000000023</v>
      </c>
      <c r="K50">
        <f t="shared" si="6"/>
        <v>703463.95581946918</v>
      </c>
      <c r="L50">
        <f t="shared" si="7"/>
        <v>20.6245787157359</v>
      </c>
      <c r="M50" s="133">
        <f t="shared" si="1"/>
        <v>1.014578715735901</v>
      </c>
      <c r="N50" s="161">
        <f t="shared" si="17"/>
        <v>0.29517293564487074</v>
      </c>
      <c r="Q50" s="151" t="s">
        <v>160</v>
      </c>
      <c r="R50">
        <f t="shared" si="21"/>
        <v>174.16</v>
      </c>
      <c r="S50" s="2">
        <f t="shared" si="18"/>
        <v>20.21690000000001</v>
      </c>
      <c r="T50" s="148">
        <f t="shared" si="2"/>
        <v>3520.9753040000014</v>
      </c>
      <c r="U50" s="148">
        <f t="shared" si="8"/>
        <v>34108.040000000023</v>
      </c>
      <c r="V50">
        <f t="shared" si="9"/>
        <v>687830.72724346921</v>
      </c>
      <c r="W50">
        <f t="shared" si="3"/>
        <v>20.166234331948385</v>
      </c>
      <c r="X50" s="133">
        <f t="shared" si="4"/>
        <v>0.55623433194838512</v>
      </c>
      <c r="Y50" s="159">
        <f t="shared" si="19"/>
        <v>0.16182610390025809</v>
      </c>
    </row>
    <row r="51" spans="5:25">
      <c r="F51" s="151" t="s">
        <v>158</v>
      </c>
      <c r="G51">
        <f t="shared" si="20"/>
        <v>174.16</v>
      </c>
      <c r="H51" s="2">
        <f t="shared" si="16"/>
        <v>9.9806999999999846</v>
      </c>
      <c r="I51">
        <f t="shared" si="0"/>
        <v>1738.2387119999973</v>
      </c>
      <c r="J51">
        <f t="shared" si="5"/>
        <v>34282.200000000026</v>
      </c>
      <c r="K51">
        <f t="shared" si="6"/>
        <v>705202.19453146914</v>
      </c>
      <c r="L51">
        <f t="shared" si="7"/>
        <v>20.570505817347446</v>
      </c>
      <c r="M51" s="133">
        <f t="shared" si="1"/>
        <v>0.96050581734744611</v>
      </c>
      <c r="N51" s="161">
        <f t="shared" si="17"/>
        <v>0.27944142471467126</v>
      </c>
      <c r="P51" s="148"/>
      <c r="Q51" s="152" t="s">
        <v>157</v>
      </c>
      <c r="R51" s="148">
        <f t="shared" si="21"/>
        <v>174.16</v>
      </c>
      <c r="S51" s="147">
        <f t="shared" si="18"/>
        <v>21.004300000000011</v>
      </c>
      <c r="T51" s="148">
        <f t="shared" si="2"/>
        <v>3658.108888000002</v>
      </c>
      <c r="U51" s="148">
        <f t="shared" si="8"/>
        <v>34282.200000000026</v>
      </c>
      <c r="V51">
        <f t="shared" si="9"/>
        <v>691488.83613146923</v>
      </c>
      <c r="W51">
        <f t="shared" si="3"/>
        <v>20.170491862583752</v>
      </c>
      <c r="X51" s="133">
        <f t="shared" si="4"/>
        <v>0.56049186258375272</v>
      </c>
      <c r="Y51" s="159">
        <f t="shared" si="19"/>
        <v>0.16306475379183197</v>
      </c>
    </row>
    <row r="52" spans="5:25">
      <c r="F52" s="151" t="s">
        <v>156</v>
      </c>
      <c r="G52">
        <f t="shared" si="20"/>
        <v>174.16</v>
      </c>
      <c r="H52" s="2">
        <f t="shared" si="16"/>
        <v>9.1932999999999847</v>
      </c>
      <c r="I52">
        <f t="shared" si="0"/>
        <v>1601.1051279999972</v>
      </c>
      <c r="J52">
        <f t="shared" si="5"/>
        <v>34456.36000000003</v>
      </c>
      <c r="K52">
        <f t="shared" si="6"/>
        <v>706803.29965946916</v>
      </c>
      <c r="L52">
        <f t="shared" si="7"/>
        <v>20.512999622115295</v>
      </c>
      <c r="M52" s="133">
        <f t="shared" si="1"/>
        <v>0.90299962211529561</v>
      </c>
      <c r="N52" s="161">
        <f t="shared" si="17"/>
        <v>0.26271105948901302</v>
      </c>
      <c r="P52" s="148"/>
      <c r="Q52" s="152" t="s">
        <v>155</v>
      </c>
      <c r="R52" s="148">
        <f t="shared" si="21"/>
        <v>174.16</v>
      </c>
      <c r="S52" s="147">
        <f t="shared" si="18"/>
        <v>21.791700000000013</v>
      </c>
      <c r="T52" s="148">
        <f t="shared" si="2"/>
        <v>3795.2424720000022</v>
      </c>
      <c r="U52" s="148">
        <f t="shared" si="8"/>
        <v>34456.36000000003</v>
      </c>
      <c r="V52">
        <f t="shared" si="9"/>
        <v>695284.07860346918</v>
      </c>
      <c r="W52">
        <f t="shared" si="3"/>
        <v>20.178686274564946</v>
      </c>
      <c r="X52" s="133">
        <f t="shared" si="4"/>
        <v>0.56868627456494636</v>
      </c>
      <c r="Y52" s="159">
        <f t="shared" si="19"/>
        <v>0.16544876658734781</v>
      </c>
    </row>
    <row r="53" spans="5:25">
      <c r="F53" s="151" t="s">
        <v>154</v>
      </c>
      <c r="G53">
        <f t="shared" si="20"/>
        <v>174.16</v>
      </c>
      <c r="H53" s="2">
        <f t="shared" si="16"/>
        <v>8.4058999999999848</v>
      </c>
      <c r="I53">
        <f t="shared" si="0"/>
        <v>1463.9715439999973</v>
      </c>
      <c r="J53">
        <f t="shared" si="5"/>
        <v>34630.520000000033</v>
      </c>
      <c r="K53">
        <f t="shared" si="6"/>
        <v>708267.27120346914</v>
      </c>
      <c r="L53">
        <f t="shared" si="7"/>
        <v>20.452111929115372</v>
      </c>
      <c r="M53" s="133">
        <f t="shared" si="1"/>
        <v>0.84211192911537225</v>
      </c>
      <c r="N53" s="161">
        <f t="shared" si="17"/>
        <v>0.24499690995218271</v>
      </c>
      <c r="P53" s="148"/>
      <c r="Q53" s="152" t="s">
        <v>153</v>
      </c>
      <c r="R53" s="148">
        <f t="shared" si="21"/>
        <v>174.16</v>
      </c>
      <c r="S53" s="147">
        <f t="shared" si="18"/>
        <v>22.579100000000015</v>
      </c>
      <c r="T53" s="148">
        <f t="shared" si="2"/>
        <v>3932.3760560000023</v>
      </c>
      <c r="U53" s="148">
        <f t="shared" si="8"/>
        <v>34630.520000000033</v>
      </c>
      <c r="V53">
        <f t="shared" si="9"/>
        <v>699216.45465946919</v>
      </c>
      <c r="W53">
        <f t="shared" si="3"/>
        <v>20.190758171100768</v>
      </c>
      <c r="X53" s="133">
        <f t="shared" si="4"/>
        <v>0.58075817110076855</v>
      </c>
      <c r="Y53" s="159">
        <f t="shared" si="19"/>
        <v>0.1689608618876077</v>
      </c>
    </row>
    <row r="54" spans="5:25">
      <c r="F54" s="151" t="s">
        <v>151</v>
      </c>
      <c r="G54">
        <f t="shared" si="20"/>
        <v>174.16</v>
      </c>
      <c r="H54" s="2">
        <f t="shared" si="16"/>
        <v>7.618499999999985</v>
      </c>
      <c r="I54">
        <f t="shared" si="0"/>
        <v>1326.8379599999973</v>
      </c>
      <c r="J54">
        <f t="shared" si="5"/>
        <v>34804.680000000037</v>
      </c>
      <c r="K54">
        <f t="shared" si="6"/>
        <v>709594.10916346917</v>
      </c>
      <c r="L54">
        <f t="shared" si="7"/>
        <v>20.387893500628895</v>
      </c>
      <c r="M54" s="133">
        <f t="shared" si="1"/>
        <v>0.7778935006288954</v>
      </c>
      <c r="N54" s="161">
        <f t="shared" si="17"/>
        <v>0.22631374445220018</v>
      </c>
      <c r="P54" s="148"/>
      <c r="Q54" s="152" t="s">
        <v>150</v>
      </c>
      <c r="R54" s="148">
        <f t="shared" si="21"/>
        <v>174.16</v>
      </c>
      <c r="S54" s="147">
        <f t="shared" si="18"/>
        <v>23.366500000000016</v>
      </c>
      <c r="T54" s="148">
        <f t="shared" si="2"/>
        <v>4069.5096400000029</v>
      </c>
      <c r="U54" s="148">
        <f t="shared" si="8"/>
        <v>34804.680000000037</v>
      </c>
      <c r="V54">
        <f t="shared" si="9"/>
        <v>703285.96429946914</v>
      </c>
      <c r="W54">
        <f t="shared" si="3"/>
        <v>20.20664934426831</v>
      </c>
      <c r="X54" s="133">
        <f t="shared" si="4"/>
        <v>0.59664934426831095</v>
      </c>
      <c r="Y54" s="159">
        <f t="shared" si="19"/>
        <v>0.17358410517268119</v>
      </c>
    </row>
    <row r="55" spans="5:25">
      <c r="F55" s="151" t="s">
        <v>148</v>
      </c>
      <c r="G55">
        <f t="shared" si="20"/>
        <v>174.16</v>
      </c>
      <c r="H55" s="2">
        <f t="shared" si="16"/>
        <v>6.8310999999999851</v>
      </c>
      <c r="I55">
        <f t="shared" si="0"/>
        <v>1189.7043759999974</v>
      </c>
      <c r="J55">
        <f t="shared" si="5"/>
        <v>34978.84000000004</v>
      </c>
      <c r="K55">
        <f t="shared" si="6"/>
        <v>710783.81353946915</v>
      </c>
      <c r="L55">
        <f t="shared" si="7"/>
        <v>20.320394087953414</v>
      </c>
      <c r="M55" s="133">
        <f t="shared" si="1"/>
        <v>0.7103940879534143</v>
      </c>
      <c r="N55" s="161">
        <f t="shared" si="17"/>
        <v>0.20667603721006181</v>
      </c>
      <c r="O55" s="148"/>
      <c r="P55" s="148"/>
      <c r="Q55" s="152" t="s">
        <v>147</v>
      </c>
      <c r="R55" s="148">
        <f t="shared" si="21"/>
        <v>174.16</v>
      </c>
      <c r="S55" s="147">
        <f t="shared" si="18"/>
        <v>24.153900000000018</v>
      </c>
      <c r="T55" s="148">
        <f t="shared" si="2"/>
        <v>4206.6432240000031</v>
      </c>
      <c r="U55" s="148">
        <f t="shared" si="8"/>
        <v>34978.84000000004</v>
      </c>
      <c r="V55">
        <f t="shared" si="9"/>
        <v>707492.60752346914</v>
      </c>
      <c r="W55">
        <f t="shared" si="3"/>
        <v>20.226302745416039</v>
      </c>
      <c r="X55" s="133">
        <f t="shared" si="4"/>
        <v>0.61630274541603924</v>
      </c>
      <c r="Y55" s="159">
        <f t="shared" si="19"/>
        <v>0.17930189919122957</v>
      </c>
    </row>
    <row r="56" spans="5:25">
      <c r="F56" s="151" t="s">
        <v>146</v>
      </c>
      <c r="G56">
        <f t="shared" si="20"/>
        <v>174.16</v>
      </c>
      <c r="H56" s="2">
        <f t="shared" si="16"/>
        <v>6.0436999999999852</v>
      </c>
      <c r="I56">
        <f t="shared" si="0"/>
        <v>1052.5707919999975</v>
      </c>
      <c r="J56">
        <f t="shared" si="5"/>
        <v>35153.000000000044</v>
      </c>
      <c r="K56">
        <f t="shared" si="6"/>
        <v>711836.38433146919</v>
      </c>
      <c r="L56">
        <f t="shared" si="7"/>
        <v>20.249662456446629</v>
      </c>
      <c r="M56" s="133">
        <f t="shared" si="1"/>
        <v>0.63966245644662934</v>
      </c>
      <c r="N56" s="161">
        <f t="shared" si="17"/>
        <v>0.18609797560577757</v>
      </c>
      <c r="O56" s="148"/>
      <c r="P56" s="148"/>
      <c r="Q56" s="152" t="s">
        <v>145</v>
      </c>
      <c r="R56" s="148">
        <f t="shared" si="21"/>
        <v>174.16</v>
      </c>
      <c r="S56" s="147">
        <f t="shared" si="18"/>
        <v>24.94130000000002</v>
      </c>
      <c r="T56" s="148">
        <f t="shared" si="2"/>
        <v>4343.7768080000033</v>
      </c>
      <c r="U56" s="148">
        <f t="shared" si="8"/>
        <v>35153.000000000044</v>
      </c>
      <c r="V56">
        <f t="shared" si="9"/>
        <v>711836.38433146919</v>
      </c>
      <c r="W56">
        <f t="shared" si="3"/>
        <v>20.249662456446629</v>
      </c>
      <c r="X56" s="133">
        <f t="shared" si="4"/>
        <v>0.63966245644662934</v>
      </c>
      <c r="Y56" s="159">
        <f t="shared" si="19"/>
        <v>0.18609797560577757</v>
      </c>
    </row>
    <row r="57" spans="5:25">
      <c r="E57" t="s">
        <v>35</v>
      </c>
      <c r="F57" s="151" t="s">
        <v>35</v>
      </c>
      <c r="G57" s="145">
        <f>'Weight Pie Charts'!D11</f>
        <v>6487</v>
      </c>
      <c r="H57" s="146">
        <f>cg_loading!C28</f>
        <v>20.469308724832214</v>
      </c>
      <c r="I57">
        <f t="shared" si="0"/>
        <v>132784.40569798657</v>
      </c>
      <c r="J57">
        <f t="shared" si="5"/>
        <v>41640.000000000044</v>
      </c>
      <c r="K57">
        <f t="shared" si="6"/>
        <v>844620.79002945579</v>
      </c>
      <c r="L57">
        <f t="shared" si="7"/>
        <v>20.283880644319282</v>
      </c>
      <c r="M57" s="133">
        <f t="shared" si="1"/>
        <v>0.67388064431928285</v>
      </c>
      <c r="N57" s="163">
        <f>M57/C$2</f>
        <v>0.19605312527545385</v>
      </c>
      <c r="O57" s="148"/>
      <c r="P57" s="148" t="s">
        <v>35</v>
      </c>
      <c r="Q57" s="152" t="s">
        <v>35</v>
      </c>
      <c r="R57" s="147">
        <f>G57</f>
        <v>6487</v>
      </c>
      <c r="S57" s="149">
        <f>H57</f>
        <v>20.469308724832214</v>
      </c>
      <c r="T57" s="148">
        <f t="shared" si="2"/>
        <v>132784.40569798657</v>
      </c>
      <c r="U57" s="148">
        <f t="shared" si="8"/>
        <v>41640.000000000044</v>
      </c>
      <c r="V57">
        <f t="shared" si="9"/>
        <v>844620.79002945579</v>
      </c>
      <c r="W57">
        <f t="shared" si="3"/>
        <v>20.283880644319282</v>
      </c>
      <c r="X57" s="133">
        <f t="shared" si="4"/>
        <v>0.67388064431928285</v>
      </c>
      <c r="Y57" s="155">
        <f>X57/C$2</f>
        <v>0.19605312527545385</v>
      </c>
    </row>
    <row r="58" spans="5:25">
      <c r="O58" s="148"/>
    </row>
    <row r="59" spans="5:25">
      <c r="O59" s="148"/>
    </row>
    <row r="60" spans="5:25">
      <c r="O60" s="148"/>
    </row>
    <row r="61" spans="5:25">
      <c r="O61" s="148"/>
    </row>
    <row r="62" spans="5:25">
      <c r="N62" s="148"/>
      <c r="O62" s="148"/>
      <c r="P62" s="148"/>
      <c r="Q62" s="148"/>
      <c r="R62" s="148"/>
      <c r="S62" s="148"/>
      <c r="T62" s="148"/>
      <c r="U62" s="148"/>
      <c r="V62" s="148"/>
    </row>
    <row r="63" spans="5:25">
      <c r="N63" s="148"/>
      <c r="O63" s="148"/>
      <c r="P63" s="148"/>
      <c r="Q63" s="148"/>
      <c r="R63" s="148"/>
      <c r="S63" s="148"/>
      <c r="T63" s="148"/>
      <c r="U63" s="148"/>
      <c r="V63" s="148"/>
    </row>
    <row r="64" spans="5:25">
      <c r="N64" s="148"/>
      <c r="O64" s="148"/>
      <c r="P64" s="148"/>
      <c r="Q64" s="148"/>
      <c r="R64" s="148"/>
      <c r="S64" s="148"/>
      <c r="T64" s="148"/>
      <c r="U64" s="148"/>
      <c r="V64" s="148"/>
    </row>
  </sheetData>
  <mergeCells count="6">
    <mergeCell ref="B38:D39"/>
    <mergeCell ref="B28:D30"/>
    <mergeCell ref="B32:D33"/>
    <mergeCell ref="B35:D36"/>
    <mergeCell ref="B11:D18"/>
    <mergeCell ref="B20:D26"/>
  </mergeCells>
  <phoneticPr fontId="38" type="noConversion"/>
  <conditionalFormatting sqref="N4:N57 Y4:Y57">
    <cfRule type="top10" dxfId="4" priority="1" percent="1" bottom="1" rank="1"/>
    <cfRule type="top10" dxfId="3" priority="2" percent="1" rank="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35AE-E80C-49B5-BDD6-169E3EE03E23}">
  <dimension ref="B2:Y64"/>
  <sheetViews>
    <sheetView tabSelected="1" zoomScale="79" zoomScaleNormal="80" workbookViewId="0">
      <selection activeCell="E5" sqref="E5"/>
    </sheetView>
  </sheetViews>
  <sheetFormatPr defaultRowHeight="15"/>
  <cols>
    <col min="2" max="2" width="19.7109375" customWidth="1"/>
    <col min="5" max="5" width="15.28515625" customWidth="1"/>
    <col min="6" max="6" width="11" customWidth="1"/>
    <col min="7" max="8" width="10.7109375" customWidth="1"/>
    <col min="9" max="10" width="16.7109375" customWidth="1"/>
    <col min="11" max="11" width="20.140625" customWidth="1"/>
    <col min="12" max="12" width="13.28515625" customWidth="1"/>
    <col min="13" max="13" width="14.28515625" customWidth="1"/>
    <col min="14" max="14" width="17.85546875" customWidth="1"/>
    <col min="16" max="16" width="17.28515625" customWidth="1"/>
    <col min="17" max="17" width="12.7109375" customWidth="1"/>
    <col min="18" max="25" width="19.7109375" customWidth="1"/>
  </cols>
  <sheetData>
    <row r="2" spans="2:25">
      <c r="B2" t="s">
        <v>8</v>
      </c>
      <c r="C2" s="146">
        <f>cg_loading_exx!F5</f>
        <v>3.4372348993288591</v>
      </c>
    </row>
    <row r="3" spans="2:25">
      <c r="B3" t="s">
        <v>98</v>
      </c>
      <c r="C3">
        <f>'CRJ-1000 Loading Diagram'!C3</f>
        <v>36.57</v>
      </c>
      <c r="G3" s="151" t="s">
        <v>99</v>
      </c>
      <c r="H3" s="151" t="s">
        <v>100</v>
      </c>
      <c r="I3" s="151" t="s">
        <v>101</v>
      </c>
      <c r="J3" s="151" t="s">
        <v>102</v>
      </c>
      <c r="K3" s="151" t="s">
        <v>103</v>
      </c>
      <c r="L3" s="151" t="s">
        <v>104</v>
      </c>
      <c r="M3" s="151" t="s">
        <v>105</v>
      </c>
      <c r="N3" s="151" t="s">
        <v>106</v>
      </c>
      <c r="P3" s="148"/>
      <c r="Q3" s="148"/>
      <c r="R3" s="152" t="s">
        <v>99</v>
      </c>
      <c r="S3" s="152" t="s">
        <v>100</v>
      </c>
      <c r="T3" s="152" t="s">
        <v>101</v>
      </c>
      <c r="U3" s="152" t="s">
        <v>102</v>
      </c>
      <c r="V3" s="153" t="s">
        <v>103</v>
      </c>
      <c r="W3" s="152" t="s">
        <v>104</v>
      </c>
      <c r="X3" s="152" t="s">
        <v>105</v>
      </c>
      <c r="Y3" s="152" t="s">
        <v>106</v>
      </c>
    </row>
    <row r="4" spans="2:25">
      <c r="B4" t="s">
        <v>107</v>
      </c>
      <c r="C4">
        <f>'CRJ-1000 Loading Diagram'!C4</f>
        <v>0.53623188405797095</v>
      </c>
      <c r="F4" s="151" t="s">
        <v>32</v>
      </c>
      <c r="G4" s="145">
        <f>cg_loading_exx!B68</f>
        <v>22490.462934840085</v>
      </c>
      <c r="H4" s="146">
        <f>cg_loading_exx!C26</f>
        <v>21.498936985797986</v>
      </c>
      <c r="I4">
        <f>G4*H4</f>
        <v>483521.04541755223</v>
      </c>
      <c r="J4">
        <f>G4</f>
        <v>22490.462934840085</v>
      </c>
      <c r="K4">
        <f>I4</f>
        <v>483521.04541755223</v>
      </c>
      <c r="L4">
        <f t="shared" ref="L4" si="0">K4/J4</f>
        <v>21.498936985797986</v>
      </c>
      <c r="M4">
        <f t="shared" ref="M4:M35" si="1">L4-C$5</f>
        <v>1.8889369857979865</v>
      </c>
      <c r="N4" s="156">
        <f t="shared" ref="N4:N35" si="2">M4/C$2</f>
        <v>0.54955132282836205</v>
      </c>
      <c r="P4" s="148"/>
      <c r="Q4" s="152" t="s">
        <v>32</v>
      </c>
      <c r="R4" s="147">
        <f>G4</f>
        <v>22490.462934840085</v>
      </c>
      <c r="S4" s="149">
        <f>H4</f>
        <v>21.498936985797986</v>
      </c>
      <c r="T4" s="148">
        <f>R4*S4</f>
        <v>483521.04541755223</v>
      </c>
      <c r="U4" s="148">
        <f>R4</f>
        <v>22490.462934840085</v>
      </c>
      <c r="V4">
        <f>T4</f>
        <v>483521.04541755223</v>
      </c>
      <c r="W4">
        <f>V4/U4</f>
        <v>21.498936985797986</v>
      </c>
      <c r="X4" s="133">
        <f t="shared" ref="X4:X35" si="3">W4-C$5</f>
        <v>1.8889369857979865</v>
      </c>
      <c r="Y4" s="156">
        <f t="shared" ref="Y4:Y35" si="4">X4/C$2</f>
        <v>0.54955132282836205</v>
      </c>
    </row>
    <row r="5" spans="2:25">
      <c r="B5" t="s">
        <v>108</v>
      </c>
      <c r="C5" s="139">
        <f>C3*C4</f>
        <v>19.61</v>
      </c>
      <c r="F5" s="151" t="s">
        <v>175</v>
      </c>
      <c r="G5" s="145">
        <f>G4+'Weight Pie Charts'!$D$41+'Weight Pie Charts'!$D$42</f>
        <v>26990.462934840085</v>
      </c>
      <c r="H5" s="146">
        <f>cg_loading_exx!C34</f>
        <v>21.466579828351282</v>
      </c>
      <c r="I5">
        <f t="shared" ref="I5:I52" si="5">G5*H5</f>
        <v>579392.92719490116</v>
      </c>
      <c r="J5">
        <f>G5</f>
        <v>26990.462934840085</v>
      </c>
      <c r="K5">
        <f>I5</f>
        <v>579392.92719490116</v>
      </c>
      <c r="L5">
        <f t="shared" ref="L5:L52" si="6">K5/J5</f>
        <v>21.466579828351286</v>
      </c>
      <c r="M5" s="133">
        <f t="shared" si="1"/>
        <v>1.8565798283512862</v>
      </c>
      <c r="N5" s="156">
        <f t="shared" si="2"/>
        <v>0.54013760558342827</v>
      </c>
      <c r="Q5" s="151" t="s">
        <v>175</v>
      </c>
      <c r="R5">
        <f>G5</f>
        <v>26990.462934840085</v>
      </c>
      <c r="S5">
        <f>H5</f>
        <v>21.466579828351282</v>
      </c>
      <c r="T5" s="148">
        <f t="shared" ref="T5:T6" si="7">R5*S5</f>
        <v>579392.92719490116</v>
      </c>
      <c r="U5">
        <f>R5</f>
        <v>26990.462934840085</v>
      </c>
      <c r="V5">
        <f>T5</f>
        <v>579392.92719490116</v>
      </c>
      <c r="W5">
        <f>V5/U5</f>
        <v>21.466579828351286</v>
      </c>
      <c r="X5" s="133">
        <f t="shared" si="3"/>
        <v>1.8565798283512862</v>
      </c>
      <c r="Y5" s="156">
        <f t="shared" si="4"/>
        <v>0.54013760558342827</v>
      </c>
    </row>
    <row r="6" spans="2:25">
      <c r="E6" t="s">
        <v>109</v>
      </c>
      <c r="F6" s="151" t="s">
        <v>79</v>
      </c>
      <c r="G6" s="145">
        <f>'Weight Pie Charts'!D43</f>
        <v>2487.9051878354203</v>
      </c>
      <c r="H6" s="146">
        <f>cg_loading_exx!G62</f>
        <v>28.912942401110339</v>
      </c>
      <c r="I6">
        <f t="shared" si="5"/>
        <v>71932.659395309107</v>
      </c>
      <c r="J6">
        <f>J5+G6</f>
        <v>29478.368122675507</v>
      </c>
      <c r="K6">
        <f>K5+I6</f>
        <v>651325.58659021021</v>
      </c>
      <c r="L6">
        <f t="shared" si="6"/>
        <v>22.095035379152961</v>
      </c>
      <c r="M6" s="133">
        <f t="shared" si="1"/>
        <v>2.4850353791529614</v>
      </c>
      <c r="N6" s="154">
        <f t="shared" si="2"/>
        <v>0.72297513901019084</v>
      </c>
      <c r="Q6" s="152" t="s">
        <v>77</v>
      </c>
      <c r="R6" s="147">
        <f>G7</f>
        <v>769.09481216457959</v>
      </c>
      <c r="S6" s="147">
        <v>11.31</v>
      </c>
      <c r="T6" s="148">
        <f t="shared" si="7"/>
        <v>8698.4623255813949</v>
      </c>
      <c r="U6" s="148">
        <f>U5+R6</f>
        <v>27759.557747004663</v>
      </c>
      <c r="V6">
        <f>V5+T6</f>
        <v>588091.38952048251</v>
      </c>
      <c r="W6">
        <f t="shared" ref="W6:W29" si="8">V6/U6</f>
        <v>21.185185833298778</v>
      </c>
      <c r="X6" s="133">
        <f t="shared" si="3"/>
        <v>1.5751858332987787</v>
      </c>
      <c r="Y6" s="157">
        <f t="shared" si="4"/>
        <v>0.45827122074384363</v>
      </c>
    </row>
    <row r="7" spans="2:25">
      <c r="B7" t="s">
        <v>110</v>
      </c>
      <c r="C7">
        <f>'CRJ-1000 Loading Diagram'!C7</f>
        <v>87.08</v>
      </c>
      <c r="F7" s="151" t="s">
        <v>77</v>
      </c>
      <c r="G7" s="145">
        <f>'Weight Pie Charts'!D44</f>
        <v>769.09481216457959</v>
      </c>
      <c r="H7" s="146">
        <f>cg_loading_exx!G60</f>
        <v>11.446653992395436</v>
      </c>
      <c r="I7">
        <f t="shared" si="5"/>
        <v>8803.5622021943036</v>
      </c>
      <c r="J7">
        <f t="shared" ref="J7:J52" si="9">J6+G7</f>
        <v>30247.462934840085</v>
      </c>
      <c r="K7">
        <f t="shared" ref="K7:K52" si="10">K6+I7</f>
        <v>660129.14879240457</v>
      </c>
      <c r="L7">
        <f t="shared" si="6"/>
        <v>21.824281600558464</v>
      </c>
      <c r="M7" s="133">
        <f t="shared" si="1"/>
        <v>2.2142816005584649</v>
      </c>
      <c r="N7" s="154">
        <f t="shared" si="2"/>
        <v>0.6442043285987864</v>
      </c>
      <c r="Q7" s="152" t="s">
        <v>79</v>
      </c>
      <c r="R7" s="147">
        <f>G6</f>
        <v>2487.9051878354203</v>
      </c>
      <c r="S7" s="147">
        <v>28.6</v>
      </c>
      <c r="T7" s="148">
        <f>R7*S7</f>
        <v>71154.088372093029</v>
      </c>
      <c r="U7" s="148">
        <f>U6+R7</f>
        <v>30247.462934840085</v>
      </c>
      <c r="V7">
        <f t="shared" ref="V7" si="11">V6+T7</f>
        <v>659245.47789257555</v>
      </c>
      <c r="W7">
        <f t="shared" si="8"/>
        <v>21.795066889171508</v>
      </c>
      <c r="X7" s="133">
        <f t="shared" si="3"/>
        <v>2.1850668891715088</v>
      </c>
      <c r="Y7" s="157">
        <f t="shared" si="4"/>
        <v>0.63570484798643134</v>
      </c>
    </row>
    <row r="8" spans="2:25">
      <c r="B8" t="s">
        <v>115</v>
      </c>
      <c r="C8">
        <v>4</v>
      </c>
      <c r="E8" t="s">
        <v>111</v>
      </c>
      <c r="F8" s="151" t="s">
        <v>121</v>
      </c>
      <c r="G8">
        <f t="shared" ref="G8:G51" si="12">C$8/2*C$7</f>
        <v>174.16</v>
      </c>
      <c r="H8" s="2">
        <f>'CRJ-1000 Loading Diagram'!H7-3*C9</f>
        <v>22.5791</v>
      </c>
      <c r="I8">
        <f t="shared" si="5"/>
        <v>3932.3760560000001</v>
      </c>
      <c r="J8">
        <f t="shared" si="9"/>
        <v>30421.622934840085</v>
      </c>
      <c r="K8">
        <f t="shared" si="10"/>
        <v>664061.52484840457</v>
      </c>
      <c r="L8">
        <f t="shared" si="6"/>
        <v>21.828602841825845</v>
      </c>
      <c r="M8" s="133">
        <f t="shared" si="1"/>
        <v>2.2186028418258452</v>
      </c>
      <c r="N8" s="160">
        <f t="shared" si="2"/>
        <v>0.64546151392185647</v>
      </c>
      <c r="P8" s="148" t="s">
        <v>113</v>
      </c>
      <c r="Q8" s="152" t="s">
        <v>114</v>
      </c>
      <c r="R8" s="148">
        <f t="shared" ref="R8:R51" si="13">C$8*C$7/2</f>
        <v>174.16</v>
      </c>
      <c r="S8" s="147">
        <f>'CRJ-1000 Loading Diagram'!S7</f>
        <v>6.0437000000000003</v>
      </c>
      <c r="T8" s="148">
        <f>R8*S8</f>
        <v>1052.570792</v>
      </c>
      <c r="U8" s="148">
        <f>U7+R8</f>
        <v>30421.622934840085</v>
      </c>
      <c r="V8">
        <f>V7+T8</f>
        <v>660298.04868457559</v>
      </c>
      <c r="W8">
        <f t="shared" si="8"/>
        <v>21.704892276748829</v>
      </c>
      <c r="X8" s="133">
        <f t="shared" si="3"/>
        <v>2.0948922767488298</v>
      </c>
      <c r="Y8" s="158">
        <f t="shared" si="4"/>
        <v>0.60947021024308534</v>
      </c>
    </row>
    <row r="9" spans="2:25">
      <c r="B9" t="s">
        <v>118</v>
      </c>
      <c r="C9">
        <f>31*0.0254</f>
        <v>0.78739999999999999</v>
      </c>
      <c r="F9" s="151" t="s">
        <v>124</v>
      </c>
      <c r="G9">
        <f t="shared" si="12"/>
        <v>174.16</v>
      </c>
      <c r="H9" s="166">
        <f t="shared" ref="H9:H29" si="14">H8-C$9</f>
        <v>21.791699999999999</v>
      </c>
      <c r="I9">
        <f t="shared" si="5"/>
        <v>3795.2424719999999</v>
      </c>
      <c r="J9">
        <f t="shared" si="9"/>
        <v>30595.782934840085</v>
      </c>
      <c r="K9">
        <f t="shared" si="10"/>
        <v>667856.76732040453</v>
      </c>
      <c r="L9">
        <f t="shared" si="6"/>
        <v>21.828392780231862</v>
      </c>
      <c r="M9" s="133">
        <f t="shared" si="1"/>
        <v>2.2183927802318628</v>
      </c>
      <c r="N9" s="160">
        <f t="shared" si="2"/>
        <v>0.64540040038142799</v>
      </c>
      <c r="P9" s="148"/>
      <c r="Q9" s="152" t="s">
        <v>117</v>
      </c>
      <c r="R9" s="148">
        <f t="shared" si="13"/>
        <v>174.16</v>
      </c>
      <c r="S9" s="147">
        <f t="shared" ref="S9:S29" si="15">S8+C$9</f>
        <v>6.8311000000000002</v>
      </c>
      <c r="T9" s="148">
        <f t="shared" ref="T9:T29" si="16">R9*S9</f>
        <v>1189.7043759999999</v>
      </c>
      <c r="U9" s="148">
        <f t="shared" ref="U9:U29" si="17">U8+R9</f>
        <v>30595.782934840085</v>
      </c>
      <c r="V9">
        <f t="shared" ref="V9:V29" si="18">V8+T9</f>
        <v>661487.75306057557</v>
      </c>
      <c r="W9">
        <f t="shared" si="8"/>
        <v>21.620226371371103</v>
      </c>
      <c r="X9" s="133">
        <f t="shared" si="3"/>
        <v>2.0102263713711039</v>
      </c>
      <c r="Y9" s="158">
        <f t="shared" si="4"/>
        <v>0.58483822905545757</v>
      </c>
    </row>
    <row r="10" spans="2:25" ht="15.75" thickBot="1">
      <c r="F10" s="151" t="s">
        <v>126</v>
      </c>
      <c r="G10">
        <f t="shared" si="12"/>
        <v>174.16</v>
      </c>
      <c r="H10" s="2">
        <f t="shared" si="14"/>
        <v>21.004299999999997</v>
      </c>
      <c r="I10">
        <f t="shared" si="5"/>
        <v>3658.1088879999993</v>
      </c>
      <c r="J10">
        <f t="shared" si="9"/>
        <v>30769.942934840084</v>
      </c>
      <c r="K10">
        <f t="shared" si="10"/>
        <v>671514.87620840454</v>
      </c>
      <c r="L10">
        <f t="shared" si="6"/>
        <v>21.823728358237027</v>
      </c>
      <c r="M10" s="133">
        <f t="shared" si="1"/>
        <v>2.2137283582370273</v>
      </c>
      <c r="N10" s="160">
        <f t="shared" si="2"/>
        <v>0.64404337296507463</v>
      </c>
      <c r="P10" s="148"/>
      <c r="Q10" s="152" t="s">
        <v>120</v>
      </c>
      <c r="R10" s="148">
        <f t="shared" si="13"/>
        <v>174.16</v>
      </c>
      <c r="S10" s="147">
        <f t="shared" si="15"/>
        <v>7.6185</v>
      </c>
      <c r="T10" s="148">
        <f t="shared" si="16"/>
        <v>1326.8379600000001</v>
      </c>
      <c r="U10" s="148">
        <f t="shared" si="17"/>
        <v>30769.942934840084</v>
      </c>
      <c r="V10">
        <f t="shared" si="18"/>
        <v>662814.59102057561</v>
      </c>
      <c r="W10">
        <f t="shared" si="8"/>
        <v>21.540975634052483</v>
      </c>
      <c r="X10" s="133">
        <f t="shared" si="3"/>
        <v>1.9309756340524835</v>
      </c>
      <c r="Y10" s="158">
        <f t="shared" si="4"/>
        <v>0.56178169098350483</v>
      </c>
    </row>
    <row r="11" spans="2:25" ht="14.45" customHeight="1">
      <c r="B11" s="282" t="s">
        <v>176</v>
      </c>
      <c r="C11" s="283"/>
      <c r="D11" s="284"/>
      <c r="F11" s="151" t="s">
        <v>128</v>
      </c>
      <c r="G11">
        <f t="shared" si="12"/>
        <v>174.16</v>
      </c>
      <c r="H11" s="2">
        <f t="shared" si="14"/>
        <v>20.216899999999995</v>
      </c>
      <c r="I11">
        <f t="shared" si="5"/>
        <v>3520.9753039999991</v>
      </c>
      <c r="J11">
        <f t="shared" si="9"/>
        <v>30944.102934840084</v>
      </c>
      <c r="K11">
        <f t="shared" si="10"/>
        <v>675035.85151240451</v>
      </c>
      <c r="L11">
        <f t="shared" si="6"/>
        <v>21.81468478610763</v>
      </c>
      <c r="M11" s="133">
        <f t="shared" si="1"/>
        <v>2.2046847861076309</v>
      </c>
      <c r="N11" s="160">
        <f t="shared" si="2"/>
        <v>0.64141231271046062</v>
      </c>
      <c r="P11" s="148"/>
      <c r="Q11" s="152" t="s">
        <v>122</v>
      </c>
      <c r="R11" s="148">
        <f t="shared" si="13"/>
        <v>174.16</v>
      </c>
      <c r="S11" s="147">
        <f t="shared" si="15"/>
        <v>8.4059000000000008</v>
      </c>
      <c r="T11" s="148">
        <f t="shared" si="16"/>
        <v>1463.9715440000002</v>
      </c>
      <c r="U11" s="148">
        <f t="shared" si="17"/>
        <v>30944.102934840084</v>
      </c>
      <c r="V11">
        <f t="shared" si="18"/>
        <v>664278.56256457558</v>
      </c>
      <c r="W11">
        <f t="shared" si="8"/>
        <v>21.467048631636427</v>
      </c>
      <c r="X11" s="133">
        <f t="shared" si="3"/>
        <v>1.8570486316364274</v>
      </c>
      <c r="Y11" s="158">
        <f t="shared" si="4"/>
        <v>0.54027399523932085</v>
      </c>
    </row>
    <row r="12" spans="2:25">
      <c r="B12" s="285"/>
      <c r="C12" s="286"/>
      <c r="D12" s="287"/>
      <c r="F12" s="151" t="s">
        <v>130</v>
      </c>
      <c r="G12">
        <f t="shared" si="12"/>
        <v>174.16</v>
      </c>
      <c r="H12" s="2">
        <f t="shared" si="14"/>
        <v>19.429499999999994</v>
      </c>
      <c r="I12">
        <f t="shared" si="5"/>
        <v>3383.841719999999</v>
      </c>
      <c r="J12">
        <f t="shared" si="9"/>
        <v>31118.262934840084</v>
      </c>
      <c r="K12">
        <f t="shared" si="10"/>
        <v>678419.69323240453</v>
      </c>
      <c r="L12">
        <f t="shared" si="6"/>
        <v>21.80133559038876</v>
      </c>
      <c r="M12" s="133">
        <f t="shared" si="1"/>
        <v>2.1913355903887606</v>
      </c>
      <c r="N12" s="160">
        <f t="shared" si="2"/>
        <v>0.63752861080766754</v>
      </c>
      <c r="P12" s="148"/>
      <c r="Q12" s="152" t="s">
        <v>125</v>
      </c>
      <c r="R12" s="148">
        <f t="shared" si="13"/>
        <v>174.16</v>
      </c>
      <c r="S12" s="147">
        <f t="shared" si="15"/>
        <v>9.1933000000000007</v>
      </c>
      <c r="T12" s="148">
        <f t="shared" si="16"/>
        <v>1601.1051280000001</v>
      </c>
      <c r="U12" s="148">
        <f t="shared" si="17"/>
        <v>31118.262934840084</v>
      </c>
      <c r="V12">
        <f t="shared" si="18"/>
        <v>665879.6676925756</v>
      </c>
      <c r="W12">
        <f t="shared" si="8"/>
        <v>21.398355977867102</v>
      </c>
      <c r="X12" s="133">
        <f t="shared" si="3"/>
        <v>1.7883559778671021</v>
      </c>
      <c r="Y12" s="158">
        <f t="shared" si="4"/>
        <v>0.52028913654294895</v>
      </c>
    </row>
    <row r="13" spans="2:25">
      <c r="B13" s="285"/>
      <c r="C13" s="286"/>
      <c r="D13" s="287"/>
      <c r="F13" s="151" t="s">
        <v>132</v>
      </c>
      <c r="G13">
        <f t="shared" si="12"/>
        <v>174.16</v>
      </c>
      <c r="H13" s="2">
        <f t="shared" si="14"/>
        <v>18.642099999999992</v>
      </c>
      <c r="I13">
        <f t="shared" si="5"/>
        <v>3246.7081359999984</v>
      </c>
      <c r="J13">
        <f t="shared" si="9"/>
        <v>31292.422934840084</v>
      </c>
      <c r="K13">
        <f t="shared" si="10"/>
        <v>681666.40136840451</v>
      </c>
      <c r="L13">
        <f t="shared" si="6"/>
        <v>21.783752660758548</v>
      </c>
      <c r="M13" s="133">
        <f t="shared" si="1"/>
        <v>2.1737526607585487</v>
      </c>
      <c r="N13" s="160">
        <f t="shared" si="2"/>
        <v>0.63241318223057352</v>
      </c>
      <c r="P13" s="148"/>
      <c r="Q13" s="152" t="s">
        <v>127</v>
      </c>
      <c r="R13" s="148">
        <f t="shared" si="13"/>
        <v>174.16</v>
      </c>
      <c r="S13" s="147">
        <f t="shared" si="15"/>
        <v>9.9807000000000006</v>
      </c>
      <c r="T13" s="148">
        <f t="shared" si="16"/>
        <v>1738.2387120000001</v>
      </c>
      <c r="U13" s="148">
        <f t="shared" si="17"/>
        <v>31292.422934840084</v>
      </c>
      <c r="V13">
        <f t="shared" si="18"/>
        <v>667617.90640457557</v>
      </c>
      <c r="W13">
        <f t="shared" si="8"/>
        <v>21.334810276428577</v>
      </c>
      <c r="X13" s="133">
        <f t="shared" si="3"/>
        <v>1.7248102764285775</v>
      </c>
      <c r="Y13" s="158">
        <f t="shared" si="4"/>
        <v>0.50180168855068863</v>
      </c>
    </row>
    <row r="14" spans="2:25">
      <c r="B14" s="285"/>
      <c r="C14" s="286"/>
      <c r="D14" s="287"/>
      <c r="F14" s="151" t="s">
        <v>134</v>
      </c>
      <c r="G14">
        <f t="shared" si="12"/>
        <v>174.16</v>
      </c>
      <c r="H14" s="2">
        <f t="shared" si="14"/>
        <v>17.85469999999999</v>
      </c>
      <c r="I14">
        <f t="shared" si="5"/>
        <v>3109.5745519999982</v>
      </c>
      <c r="J14">
        <f t="shared" si="9"/>
        <v>31466.582934840084</v>
      </c>
      <c r="K14">
        <f t="shared" si="10"/>
        <v>684775.97592040454</v>
      </c>
      <c r="L14">
        <f t="shared" si="6"/>
        <v>21.76200629532654</v>
      </c>
      <c r="M14" s="133">
        <f t="shared" si="1"/>
        <v>2.1520062953265402</v>
      </c>
      <c r="N14" s="160">
        <f t="shared" si="2"/>
        <v>0.62608647891557612</v>
      </c>
      <c r="P14" s="148"/>
      <c r="Q14" s="152" t="s">
        <v>129</v>
      </c>
      <c r="R14" s="148">
        <f t="shared" si="13"/>
        <v>174.16</v>
      </c>
      <c r="S14" s="147">
        <f t="shared" si="15"/>
        <v>10.7681</v>
      </c>
      <c r="T14" s="148">
        <f t="shared" si="16"/>
        <v>1875.372296</v>
      </c>
      <c r="U14" s="148">
        <f t="shared" si="17"/>
        <v>31466.582934840084</v>
      </c>
      <c r="V14">
        <f t="shared" si="18"/>
        <v>669493.27870057558</v>
      </c>
      <c r="W14">
        <f t="shared" si="8"/>
        <v>21.276326065875637</v>
      </c>
      <c r="X14" s="133">
        <f t="shared" si="3"/>
        <v>1.6663260658756371</v>
      </c>
      <c r="Y14" s="158">
        <f t="shared" si="4"/>
        <v>0.48478678783373153</v>
      </c>
    </row>
    <row r="15" spans="2:25">
      <c r="B15" s="285"/>
      <c r="C15" s="286"/>
      <c r="D15" s="287"/>
      <c r="F15" s="151" t="s">
        <v>136</v>
      </c>
      <c r="G15">
        <f t="shared" si="12"/>
        <v>174.16</v>
      </c>
      <c r="H15" s="2">
        <f t="shared" si="14"/>
        <v>17.067299999999989</v>
      </c>
      <c r="I15">
        <f t="shared" si="5"/>
        <v>2972.4409679999981</v>
      </c>
      <c r="J15">
        <f t="shared" si="9"/>
        <v>31640.742934840084</v>
      </c>
      <c r="K15">
        <f t="shared" si="10"/>
        <v>687748.41688840452</v>
      </c>
      <c r="L15">
        <f t="shared" si="6"/>
        <v>21.736165244435988</v>
      </c>
      <c r="M15" s="133">
        <f t="shared" si="1"/>
        <v>2.1261652444359882</v>
      </c>
      <c r="N15" s="160">
        <f t="shared" si="2"/>
        <v>0.61856850250506146</v>
      </c>
      <c r="P15" s="148"/>
      <c r="Q15" s="152" t="s">
        <v>131</v>
      </c>
      <c r="R15" s="148">
        <f t="shared" si="13"/>
        <v>174.16</v>
      </c>
      <c r="S15" s="147">
        <f t="shared" si="15"/>
        <v>11.5555</v>
      </c>
      <c r="T15" s="148">
        <f t="shared" si="16"/>
        <v>2012.5058799999999</v>
      </c>
      <c r="U15" s="148">
        <f t="shared" si="17"/>
        <v>31640.742934840084</v>
      </c>
      <c r="V15">
        <f t="shared" si="18"/>
        <v>671505.78458057554</v>
      </c>
      <c r="W15">
        <f t="shared" si="8"/>
        <v>21.222819766383257</v>
      </c>
      <c r="X15" s="133">
        <f t="shared" si="3"/>
        <v>1.6128197663832573</v>
      </c>
      <c r="Y15" s="158">
        <f t="shared" si="4"/>
        <v>0.46922011838590671</v>
      </c>
    </row>
    <row r="16" spans="2:25">
      <c r="B16" s="285"/>
      <c r="C16" s="286"/>
      <c r="D16" s="287"/>
      <c r="F16" s="151" t="s">
        <v>138</v>
      </c>
      <c r="G16">
        <f t="shared" si="12"/>
        <v>174.16</v>
      </c>
      <c r="H16" s="2">
        <f t="shared" si="14"/>
        <v>16.279899999999987</v>
      </c>
      <c r="I16">
        <f t="shared" si="5"/>
        <v>2835.3073839999979</v>
      </c>
      <c r="J16">
        <f t="shared" si="9"/>
        <v>31814.902934840084</v>
      </c>
      <c r="K16">
        <f t="shared" si="10"/>
        <v>690583.72427240456</v>
      </c>
      <c r="L16">
        <f t="shared" si="6"/>
        <v>21.706296753027505</v>
      </c>
      <c r="M16" s="133">
        <f t="shared" si="1"/>
        <v>2.0962967530275058</v>
      </c>
      <c r="N16" s="160">
        <f t="shared" si="2"/>
        <v>0.60987881667232591</v>
      </c>
      <c r="P16" s="148"/>
      <c r="Q16" s="152" t="s">
        <v>133</v>
      </c>
      <c r="R16" s="148">
        <f t="shared" si="13"/>
        <v>174.16</v>
      </c>
      <c r="S16" s="147">
        <f t="shared" si="15"/>
        <v>12.3429</v>
      </c>
      <c r="T16" s="148">
        <f t="shared" si="16"/>
        <v>2149.6394639999999</v>
      </c>
      <c r="U16" s="148">
        <f t="shared" si="17"/>
        <v>31814.902934840084</v>
      </c>
      <c r="V16">
        <f t="shared" si="18"/>
        <v>673655.42404457554</v>
      </c>
      <c r="W16">
        <f t="shared" si="8"/>
        <v>21.174209628245144</v>
      </c>
      <c r="X16" s="133">
        <f t="shared" si="3"/>
        <v>1.5642096282451448</v>
      </c>
      <c r="Y16" s="158">
        <f t="shared" si="4"/>
        <v>0.45507789664028087</v>
      </c>
    </row>
    <row r="17" spans="2:25">
      <c r="B17" s="285"/>
      <c r="C17" s="286"/>
      <c r="D17" s="287"/>
      <c r="F17" s="151" t="s">
        <v>140</v>
      </c>
      <c r="G17">
        <f t="shared" si="12"/>
        <v>174.16</v>
      </c>
      <c r="H17" s="2">
        <f t="shared" si="14"/>
        <v>15.492499999999987</v>
      </c>
      <c r="I17">
        <f t="shared" si="5"/>
        <v>2698.1737999999978</v>
      </c>
      <c r="J17">
        <f t="shared" si="9"/>
        <v>31989.062934840083</v>
      </c>
      <c r="K17">
        <f t="shared" si="10"/>
        <v>693281.89807240455</v>
      </c>
      <c r="L17">
        <f t="shared" si="6"/>
        <v>21.672466601618829</v>
      </c>
      <c r="M17" s="133">
        <f t="shared" si="1"/>
        <v>2.06246660161883</v>
      </c>
      <c r="N17" s="160">
        <f t="shared" si="2"/>
        <v>0.6000365590438812</v>
      </c>
      <c r="P17" s="148"/>
      <c r="Q17" s="152" t="s">
        <v>135</v>
      </c>
      <c r="R17" s="148">
        <f t="shared" si="13"/>
        <v>174.16</v>
      </c>
      <c r="S17" s="147">
        <f t="shared" si="15"/>
        <v>13.1303</v>
      </c>
      <c r="T17" s="148">
        <f t="shared" si="16"/>
        <v>2286.773048</v>
      </c>
      <c r="U17" s="148">
        <f t="shared" si="17"/>
        <v>31989.062934840083</v>
      </c>
      <c r="V17">
        <f t="shared" si="18"/>
        <v>675942.19709257549</v>
      </c>
      <c r="W17">
        <f t="shared" si="8"/>
        <v>21.130415682054569</v>
      </c>
      <c r="X17" s="133">
        <f t="shared" si="3"/>
        <v>1.5204156820545691</v>
      </c>
      <c r="Y17" s="158">
        <f t="shared" si="4"/>
        <v>0.44233685697519232</v>
      </c>
    </row>
    <row r="18" spans="2:25" ht="15.75" thickBot="1">
      <c r="B18" s="288"/>
      <c r="C18" s="289"/>
      <c r="D18" s="290"/>
      <c r="F18" s="151" t="s">
        <v>139</v>
      </c>
      <c r="G18">
        <f t="shared" si="12"/>
        <v>174.16</v>
      </c>
      <c r="H18" s="2">
        <f t="shared" si="14"/>
        <v>14.705099999999987</v>
      </c>
      <c r="I18">
        <f t="shared" si="5"/>
        <v>2561.0402159999976</v>
      </c>
      <c r="J18">
        <f t="shared" si="9"/>
        <v>32163.222934840083</v>
      </c>
      <c r="K18">
        <f t="shared" si="10"/>
        <v>695842.93828840461</v>
      </c>
      <c r="L18">
        <f t="shared" si="6"/>
        <v>21.634739145953201</v>
      </c>
      <c r="M18" s="133">
        <f t="shared" si="1"/>
        <v>2.0247391459532018</v>
      </c>
      <c r="N18" s="160">
        <f t="shared" si="2"/>
        <v>0.58906045273441865</v>
      </c>
      <c r="P18" s="148"/>
      <c r="Q18" s="152" t="s">
        <v>137</v>
      </c>
      <c r="R18" s="148">
        <f t="shared" si="13"/>
        <v>174.16</v>
      </c>
      <c r="S18" s="147">
        <f t="shared" si="15"/>
        <v>13.9177</v>
      </c>
      <c r="T18" s="148">
        <f t="shared" si="16"/>
        <v>2423.9066320000002</v>
      </c>
      <c r="U18" s="148">
        <f t="shared" si="17"/>
        <v>32163.222934840083</v>
      </c>
      <c r="V18">
        <f t="shared" si="18"/>
        <v>678366.10372457549</v>
      </c>
      <c r="W18">
        <f t="shared" si="8"/>
        <v>21.091359690503864</v>
      </c>
      <c r="X18" s="133">
        <f t="shared" si="3"/>
        <v>1.4813596905038651</v>
      </c>
      <c r="Y18" s="158">
        <f t="shared" si="4"/>
        <v>0.43097423769120624</v>
      </c>
    </row>
    <row r="19" spans="2:25" ht="15.75" thickBot="1">
      <c r="F19" s="151" t="s">
        <v>137</v>
      </c>
      <c r="G19">
        <f t="shared" si="12"/>
        <v>174.16</v>
      </c>
      <c r="H19" s="2">
        <f t="shared" si="14"/>
        <v>13.917699999999988</v>
      </c>
      <c r="I19">
        <f t="shared" si="5"/>
        <v>2423.9066319999979</v>
      </c>
      <c r="J19">
        <f t="shared" si="9"/>
        <v>32337.382934840083</v>
      </c>
      <c r="K19">
        <f t="shared" si="10"/>
        <v>698266.8449204046</v>
      </c>
      <c r="L19">
        <f t="shared" si="6"/>
        <v>21.593177355366521</v>
      </c>
      <c r="M19" s="133">
        <f t="shared" si="1"/>
        <v>1.9831773553665215</v>
      </c>
      <c r="N19" s="160">
        <f t="shared" si="2"/>
        <v>0.57696881750902418</v>
      </c>
      <c r="P19" s="148"/>
      <c r="Q19" s="152" t="s">
        <v>139</v>
      </c>
      <c r="R19" s="148">
        <f t="shared" si="13"/>
        <v>174.16</v>
      </c>
      <c r="S19" s="147">
        <f t="shared" si="15"/>
        <v>14.7051</v>
      </c>
      <c r="T19" s="148">
        <f t="shared" si="16"/>
        <v>2561.0402159999999</v>
      </c>
      <c r="U19" s="148">
        <f t="shared" si="17"/>
        <v>32337.382934840083</v>
      </c>
      <c r="V19">
        <f t="shared" si="18"/>
        <v>680927.14394057554</v>
      </c>
      <c r="W19">
        <f t="shared" si="8"/>
        <v>21.056965101741401</v>
      </c>
      <c r="X19" s="133">
        <f t="shared" si="3"/>
        <v>1.4469651017414016</v>
      </c>
      <c r="Y19" s="158">
        <f t="shared" si="4"/>
        <v>0.42096776744118658</v>
      </c>
    </row>
    <row r="20" spans="2:25">
      <c r="B20" s="282" t="s">
        <v>177</v>
      </c>
      <c r="C20" s="283"/>
      <c r="D20" s="284"/>
      <c r="F20" s="151" t="s">
        <v>135</v>
      </c>
      <c r="G20">
        <f t="shared" si="12"/>
        <v>174.16</v>
      </c>
      <c r="H20" s="2">
        <f t="shared" si="14"/>
        <v>13.130299999999988</v>
      </c>
      <c r="I20">
        <f t="shared" si="5"/>
        <v>2286.7730479999977</v>
      </c>
      <c r="J20">
        <f t="shared" si="9"/>
        <v>32511.542934840083</v>
      </c>
      <c r="K20">
        <f t="shared" si="10"/>
        <v>700553.61796840455</v>
      </c>
      <c r="L20">
        <f t="shared" si="6"/>
        <v>21.547842849921341</v>
      </c>
      <c r="M20" s="133">
        <f t="shared" si="1"/>
        <v>1.937842849921342</v>
      </c>
      <c r="N20" s="160">
        <f t="shared" si="2"/>
        <v>0.56377958058662725</v>
      </c>
      <c r="P20" s="148"/>
      <c r="Q20" s="152" t="s">
        <v>140</v>
      </c>
      <c r="R20" s="148">
        <f t="shared" si="13"/>
        <v>174.16</v>
      </c>
      <c r="S20" s="147">
        <f t="shared" si="15"/>
        <v>15.4925</v>
      </c>
      <c r="T20" s="148">
        <f>R20*S20</f>
        <v>2698.1738</v>
      </c>
      <c r="U20" s="148">
        <f t="shared" si="17"/>
        <v>32511.542934840083</v>
      </c>
      <c r="V20">
        <f t="shared" si="18"/>
        <v>683625.31774057553</v>
      </c>
      <c r="W20">
        <f t="shared" si="8"/>
        <v>21.027157004227799</v>
      </c>
      <c r="X20" s="133">
        <f t="shared" si="3"/>
        <v>1.4171570042277999</v>
      </c>
      <c r="Y20" s="158">
        <f t="shared" si="4"/>
        <v>0.41229565209654667</v>
      </c>
    </row>
    <row r="21" spans="2:25">
      <c r="B21" s="285"/>
      <c r="C21" s="286"/>
      <c r="D21" s="287"/>
      <c r="F21" s="151" t="s">
        <v>133</v>
      </c>
      <c r="G21">
        <f t="shared" si="12"/>
        <v>174.16</v>
      </c>
      <c r="H21" s="2">
        <f t="shared" si="14"/>
        <v>12.342899999999988</v>
      </c>
      <c r="I21">
        <f t="shared" si="5"/>
        <v>2149.639463999998</v>
      </c>
      <c r="J21">
        <f t="shared" si="9"/>
        <v>32685.702934840083</v>
      </c>
      <c r="K21">
        <f t="shared" si="10"/>
        <v>702703.25743240456</v>
      </c>
      <c r="L21">
        <f t="shared" si="6"/>
        <v>21.498795936353712</v>
      </c>
      <c r="M21" s="133">
        <f t="shared" si="1"/>
        <v>1.8887959363537128</v>
      </c>
      <c r="N21" s="160">
        <f t="shared" si="2"/>
        <v>0.5495102870980717</v>
      </c>
      <c r="P21" s="148"/>
      <c r="Q21" s="152" t="s">
        <v>138</v>
      </c>
      <c r="R21" s="148">
        <f t="shared" si="13"/>
        <v>174.16</v>
      </c>
      <c r="S21" s="147">
        <f t="shared" si="15"/>
        <v>16.279900000000001</v>
      </c>
      <c r="T21" s="148">
        <f t="shared" si="16"/>
        <v>2835.3073840000002</v>
      </c>
      <c r="U21" s="148">
        <f t="shared" si="17"/>
        <v>32685.702934840083</v>
      </c>
      <c r="V21">
        <f t="shared" si="18"/>
        <v>686460.62512457557</v>
      </c>
      <c r="W21">
        <f t="shared" si="8"/>
        <v>21.001862083035363</v>
      </c>
      <c r="X21" s="133">
        <f t="shared" si="3"/>
        <v>1.3918620830353632</v>
      </c>
      <c r="Y21" s="158">
        <f t="shared" si="4"/>
        <v>0.40493656203337536</v>
      </c>
    </row>
    <row r="22" spans="2:25">
      <c r="B22" s="285"/>
      <c r="C22" s="286"/>
      <c r="D22" s="287"/>
      <c r="F22" s="151" t="s">
        <v>131</v>
      </c>
      <c r="G22">
        <f t="shared" si="12"/>
        <v>174.16</v>
      </c>
      <c r="H22" s="2">
        <f t="shared" si="14"/>
        <v>11.555499999999988</v>
      </c>
      <c r="I22">
        <f t="shared" si="5"/>
        <v>2012.5058799999979</v>
      </c>
      <c r="J22">
        <f t="shared" si="9"/>
        <v>32859.862934840086</v>
      </c>
      <c r="K22">
        <f t="shared" si="10"/>
        <v>704715.76331240451</v>
      </c>
      <c r="L22">
        <f t="shared" si="6"/>
        <v>21.446095642876852</v>
      </c>
      <c r="M22" s="133">
        <f t="shared" si="1"/>
        <v>1.8360956428768525</v>
      </c>
      <c r="N22" s="160">
        <f t="shared" si="2"/>
        <v>0.534178110211601</v>
      </c>
      <c r="P22" s="148"/>
      <c r="Q22" s="152" t="s">
        <v>136</v>
      </c>
      <c r="R22" s="148">
        <f t="shared" si="13"/>
        <v>174.16</v>
      </c>
      <c r="S22" s="147">
        <f t="shared" si="15"/>
        <v>17.067300000000003</v>
      </c>
      <c r="T22" s="148">
        <f t="shared" si="16"/>
        <v>2972.4409680000003</v>
      </c>
      <c r="U22" s="148">
        <f t="shared" si="17"/>
        <v>32859.862934840086</v>
      </c>
      <c r="V22">
        <f t="shared" si="18"/>
        <v>689433.06609257555</v>
      </c>
      <c r="W22">
        <f t="shared" si="8"/>
        <v>20.981008577537168</v>
      </c>
      <c r="X22" s="133">
        <f t="shared" si="3"/>
        <v>1.3710085775371681</v>
      </c>
      <c r="Y22" s="158">
        <f t="shared" si="4"/>
        <v>0.3988696198228599</v>
      </c>
    </row>
    <row r="23" spans="2:25">
      <c r="B23" s="285"/>
      <c r="C23" s="286"/>
      <c r="D23" s="287"/>
      <c r="F23" s="151" t="s">
        <v>129</v>
      </c>
      <c r="G23">
        <f t="shared" si="12"/>
        <v>174.16</v>
      </c>
      <c r="H23" s="2">
        <f t="shared" si="14"/>
        <v>10.768099999999988</v>
      </c>
      <c r="I23">
        <f t="shared" si="5"/>
        <v>1875.372295999998</v>
      </c>
      <c r="J23">
        <f t="shared" si="9"/>
        <v>33034.02293484009</v>
      </c>
      <c r="K23">
        <f t="shared" si="10"/>
        <v>706591.13560840453</v>
      </c>
      <c r="L23">
        <f t="shared" si="6"/>
        <v>21.389799752883928</v>
      </c>
      <c r="M23" s="133">
        <f t="shared" si="1"/>
        <v>1.7797997528839282</v>
      </c>
      <c r="N23" s="160">
        <f t="shared" si="2"/>
        <v>0.51779986093805952</v>
      </c>
      <c r="Q23" s="151" t="s">
        <v>134</v>
      </c>
      <c r="R23">
        <f t="shared" si="13"/>
        <v>174.16</v>
      </c>
      <c r="S23" s="2">
        <f t="shared" si="15"/>
        <v>17.854700000000005</v>
      </c>
      <c r="T23">
        <f t="shared" si="16"/>
        <v>3109.5745520000009</v>
      </c>
      <c r="U23" s="148">
        <f t="shared" si="17"/>
        <v>33034.02293484009</v>
      </c>
      <c r="V23">
        <f t="shared" si="18"/>
        <v>692542.64064457559</v>
      </c>
      <c r="W23">
        <f t="shared" si="8"/>
        <v>20.964526240434665</v>
      </c>
      <c r="X23" s="133">
        <f t="shared" si="3"/>
        <v>1.3545262404346659</v>
      </c>
      <c r="Y23" s="158">
        <f t="shared" si="4"/>
        <v>0.39407438831112335</v>
      </c>
    </row>
    <row r="24" spans="2:25">
      <c r="B24" s="285"/>
      <c r="C24" s="286"/>
      <c r="D24" s="287"/>
      <c r="F24" s="151" t="s">
        <v>127</v>
      </c>
      <c r="G24">
        <f t="shared" si="12"/>
        <v>174.16</v>
      </c>
      <c r="H24" s="2">
        <f t="shared" si="14"/>
        <v>9.9806999999999881</v>
      </c>
      <c r="I24">
        <f t="shared" si="5"/>
        <v>1738.2387119999978</v>
      </c>
      <c r="J24">
        <f t="shared" si="9"/>
        <v>33208.182934840093</v>
      </c>
      <c r="K24">
        <f t="shared" si="10"/>
        <v>708329.37432040449</v>
      </c>
      <c r="L24">
        <f t="shared" si="6"/>
        <v>21.329964837590271</v>
      </c>
      <c r="M24" s="133">
        <f t="shared" si="1"/>
        <v>1.7199648375902719</v>
      </c>
      <c r="N24" s="160">
        <f t="shared" si="2"/>
        <v>0.50039199762754227</v>
      </c>
      <c r="Q24" s="151" t="s">
        <v>132</v>
      </c>
      <c r="R24">
        <f t="shared" si="13"/>
        <v>174.16</v>
      </c>
      <c r="S24" s="2">
        <f t="shared" si="15"/>
        <v>18.642100000000006</v>
      </c>
      <c r="T24">
        <f t="shared" si="16"/>
        <v>3246.7081360000011</v>
      </c>
      <c r="U24" s="148">
        <f t="shared" si="17"/>
        <v>33208.182934840093</v>
      </c>
      <c r="V24">
        <f t="shared" si="18"/>
        <v>695789.34878057556</v>
      </c>
      <c r="W24">
        <f t="shared" si="8"/>
        <v>20.952346298074438</v>
      </c>
      <c r="X24" s="133">
        <f t="shared" si="3"/>
        <v>1.3423462980744389</v>
      </c>
      <c r="Y24" s="158">
        <f t="shared" si="4"/>
        <v>0.39053085907411805</v>
      </c>
    </row>
    <row r="25" spans="2:25">
      <c r="B25" s="285"/>
      <c r="C25" s="286"/>
      <c r="D25" s="287"/>
      <c r="F25" s="151" t="s">
        <v>125</v>
      </c>
      <c r="G25">
        <f t="shared" si="12"/>
        <v>174.16</v>
      </c>
      <c r="H25" s="2">
        <f t="shared" si="14"/>
        <v>9.1932999999999883</v>
      </c>
      <c r="I25">
        <f t="shared" si="5"/>
        <v>1601.1051279999979</v>
      </c>
      <c r="J25">
        <f t="shared" si="9"/>
        <v>33382.342934840097</v>
      </c>
      <c r="K25">
        <f t="shared" si="10"/>
        <v>709930.47944840451</v>
      </c>
      <c r="L25">
        <f t="shared" si="6"/>
        <v>21.266646287653838</v>
      </c>
      <c r="M25" s="133">
        <f t="shared" si="1"/>
        <v>1.6566462876538388</v>
      </c>
      <c r="N25" s="160">
        <f t="shared" si="2"/>
        <v>0.48197063516878319</v>
      </c>
      <c r="Q25" s="151" t="s">
        <v>130</v>
      </c>
      <c r="R25">
        <f t="shared" si="13"/>
        <v>174.16</v>
      </c>
      <c r="S25" s="2">
        <f t="shared" si="15"/>
        <v>19.429500000000008</v>
      </c>
      <c r="T25">
        <f t="shared" si="16"/>
        <v>3383.8417200000013</v>
      </c>
      <c r="U25" s="148">
        <f t="shared" si="17"/>
        <v>33382.342934840097</v>
      </c>
      <c r="V25">
        <f t="shared" si="18"/>
        <v>699173.19050057558</v>
      </c>
      <c r="W25">
        <f t="shared" si="8"/>
        <v>20.944401412007263</v>
      </c>
      <c r="X25" s="133">
        <f t="shared" si="3"/>
        <v>1.3344014120072636</v>
      </c>
      <c r="Y25" s="158">
        <f t="shared" si="4"/>
        <v>0.38821944123394464</v>
      </c>
    </row>
    <row r="26" spans="2:25" ht="15.75" thickBot="1">
      <c r="B26" s="288"/>
      <c r="C26" s="289"/>
      <c r="D26" s="290"/>
      <c r="F26" s="151" t="s">
        <v>122</v>
      </c>
      <c r="G26">
        <f t="shared" si="12"/>
        <v>174.16</v>
      </c>
      <c r="H26" s="2">
        <f t="shared" si="14"/>
        <v>8.4058999999999884</v>
      </c>
      <c r="I26">
        <f t="shared" si="5"/>
        <v>1463.9715439999979</v>
      </c>
      <c r="J26">
        <f t="shared" si="9"/>
        <v>33556.5029348401</v>
      </c>
      <c r="K26">
        <f t="shared" si="10"/>
        <v>711394.45099240448</v>
      </c>
      <c r="L26">
        <f t="shared" si="6"/>
        <v>21.199898343810968</v>
      </c>
      <c r="M26" s="133">
        <f t="shared" si="1"/>
        <v>1.5898983438109688</v>
      </c>
      <c r="N26" s="160">
        <f t="shared" si="2"/>
        <v>0.46255155390206415</v>
      </c>
      <c r="Q26" s="151" t="s">
        <v>128</v>
      </c>
      <c r="R26">
        <f t="shared" si="13"/>
        <v>174.16</v>
      </c>
      <c r="S26" s="2">
        <f t="shared" si="15"/>
        <v>20.21690000000001</v>
      </c>
      <c r="T26">
        <f t="shared" si="16"/>
        <v>3520.9753040000014</v>
      </c>
      <c r="U26" s="148">
        <f t="shared" si="17"/>
        <v>33556.5029348401</v>
      </c>
      <c r="V26">
        <f t="shared" si="18"/>
        <v>702694.16580457555</v>
      </c>
      <c r="W26">
        <f t="shared" si="8"/>
        <v>20.940625641744152</v>
      </c>
      <c r="X26" s="133">
        <f t="shared" si="3"/>
        <v>1.3306256417441524</v>
      </c>
      <c r="Y26" s="158">
        <f t="shared" si="4"/>
        <v>0.38712095062341101</v>
      </c>
    </row>
    <row r="27" spans="2:25" ht="15.75" thickBot="1">
      <c r="F27" s="151" t="s">
        <v>120</v>
      </c>
      <c r="G27">
        <f t="shared" si="12"/>
        <v>174.16</v>
      </c>
      <c r="H27" s="2">
        <f t="shared" si="14"/>
        <v>7.6184999999999885</v>
      </c>
      <c r="I27">
        <f t="shared" si="5"/>
        <v>1326.837959999998</v>
      </c>
      <c r="J27">
        <f t="shared" si="9"/>
        <v>33730.662934840104</v>
      </c>
      <c r="K27">
        <f t="shared" si="10"/>
        <v>712721.28895240452</v>
      </c>
      <c r="L27">
        <f t="shared" si="6"/>
        <v>21.129774126563074</v>
      </c>
      <c r="M27" s="133">
        <f t="shared" si="1"/>
        <v>1.5197741265630746</v>
      </c>
      <c r="N27" s="160">
        <f t="shared" si="2"/>
        <v>0.44215020825600826</v>
      </c>
      <c r="Q27" s="151" t="s">
        <v>126</v>
      </c>
      <c r="R27">
        <f t="shared" si="13"/>
        <v>174.16</v>
      </c>
      <c r="S27" s="2">
        <f t="shared" si="15"/>
        <v>21.004300000000011</v>
      </c>
      <c r="T27">
        <f t="shared" si="16"/>
        <v>3658.108888000002</v>
      </c>
      <c r="U27" s="148">
        <f t="shared" si="17"/>
        <v>33730.662934840104</v>
      </c>
      <c r="V27">
        <f t="shared" si="18"/>
        <v>706352.27469257556</v>
      </c>
      <c r="W27">
        <f t="shared" si="8"/>
        <v>20.940954408666261</v>
      </c>
      <c r="X27" s="133">
        <f t="shared" si="3"/>
        <v>1.3309544086662619</v>
      </c>
      <c r="Y27" s="158">
        <f t="shared" si="4"/>
        <v>0.38721659928628643</v>
      </c>
    </row>
    <row r="28" spans="2:25" ht="14.45" customHeight="1">
      <c r="B28" s="261" t="s">
        <v>142</v>
      </c>
      <c r="C28" s="262"/>
      <c r="D28" s="263"/>
      <c r="F28" s="151" t="s">
        <v>117</v>
      </c>
      <c r="G28">
        <f t="shared" si="12"/>
        <v>174.16</v>
      </c>
      <c r="H28" s="2">
        <f t="shared" si="14"/>
        <v>6.8310999999999886</v>
      </c>
      <c r="I28">
        <f t="shared" si="5"/>
        <v>1189.7043759999981</v>
      </c>
      <c r="J28">
        <f t="shared" si="9"/>
        <v>33904.822934840107</v>
      </c>
      <c r="K28">
        <f t="shared" si="10"/>
        <v>713910.9933284045</v>
      </c>
      <c r="L28">
        <f t="shared" si="6"/>
        <v>21.056325664948389</v>
      </c>
      <c r="M28" s="133">
        <f t="shared" si="1"/>
        <v>1.4463256649483895</v>
      </c>
      <c r="N28" s="160">
        <f t="shared" si="2"/>
        <v>0.42078173511818856</v>
      </c>
      <c r="Q28" s="151" t="s">
        <v>124</v>
      </c>
      <c r="R28">
        <f t="shared" si="13"/>
        <v>174.16</v>
      </c>
      <c r="S28" s="2">
        <f t="shared" si="15"/>
        <v>21.791700000000013</v>
      </c>
      <c r="T28">
        <f t="shared" si="16"/>
        <v>3795.2424720000022</v>
      </c>
      <c r="U28" s="148">
        <f t="shared" si="17"/>
        <v>33904.822934840107</v>
      </c>
      <c r="V28">
        <f t="shared" si="18"/>
        <v>710147.51716457552</v>
      </c>
      <c r="W28">
        <f t="shared" si="8"/>
        <v>20.945324461047051</v>
      </c>
      <c r="X28" s="133">
        <f t="shared" si="3"/>
        <v>1.3353244610470512</v>
      </c>
      <c r="Y28" s="158">
        <f t="shared" si="4"/>
        <v>0.38848798530114464</v>
      </c>
    </row>
    <row r="29" spans="2:25">
      <c r="B29" s="264"/>
      <c r="C29" s="265"/>
      <c r="D29" s="266"/>
      <c r="F29" s="151" t="s">
        <v>114</v>
      </c>
      <c r="G29">
        <f t="shared" si="12"/>
        <v>174.16</v>
      </c>
      <c r="H29" s="2">
        <f t="shared" si="14"/>
        <v>6.0436999999999887</v>
      </c>
      <c r="I29">
        <f t="shared" si="5"/>
        <v>1052.5707919999979</v>
      </c>
      <c r="J29">
        <f t="shared" si="9"/>
        <v>34078.982934840111</v>
      </c>
      <c r="K29">
        <f t="shared" si="10"/>
        <v>714963.56412040454</v>
      </c>
      <c r="L29">
        <f t="shared" si="6"/>
        <v>20.979603924431466</v>
      </c>
      <c r="M29" s="133">
        <f t="shared" si="1"/>
        <v>1.3696039244314662</v>
      </c>
      <c r="N29" s="160">
        <f t="shared" si="2"/>
        <v>0.3984609619490625</v>
      </c>
      <c r="Q29" s="151" t="s">
        <v>121</v>
      </c>
      <c r="R29">
        <f t="shared" si="13"/>
        <v>174.16</v>
      </c>
      <c r="S29" s="2">
        <f t="shared" si="15"/>
        <v>22.579100000000015</v>
      </c>
      <c r="T29">
        <f t="shared" si="16"/>
        <v>3932.3760560000023</v>
      </c>
      <c r="U29" s="148">
        <f t="shared" si="17"/>
        <v>34078.982934840111</v>
      </c>
      <c r="V29">
        <f t="shared" si="18"/>
        <v>714079.89322057553</v>
      </c>
      <c r="W29">
        <f t="shared" si="8"/>
        <v>20.953673840147008</v>
      </c>
      <c r="X29" s="133">
        <f t="shared" si="3"/>
        <v>1.3436738401470087</v>
      </c>
      <c r="Y29" s="158">
        <f t="shared" si="4"/>
        <v>0.39091708291725108</v>
      </c>
    </row>
    <row r="30" spans="2:25" ht="15.75" thickBot="1">
      <c r="B30" s="267"/>
      <c r="C30" s="268"/>
      <c r="D30" s="269"/>
      <c r="F30" s="151" t="s">
        <v>153</v>
      </c>
      <c r="G30">
        <f t="shared" si="12"/>
        <v>174.16</v>
      </c>
      <c r="H30" s="2">
        <f t="shared" ref="H30:H51" si="19">H8</f>
        <v>22.5791</v>
      </c>
      <c r="I30">
        <f t="shared" si="5"/>
        <v>3932.3760560000001</v>
      </c>
      <c r="J30">
        <f t="shared" si="9"/>
        <v>34253.142934840114</v>
      </c>
      <c r="K30">
        <f t="shared" si="10"/>
        <v>718895.94017640455</v>
      </c>
      <c r="L30">
        <f t="shared" si="6"/>
        <v>20.9877365573128</v>
      </c>
      <c r="M30" s="133">
        <f t="shared" si="1"/>
        <v>1.3777365573128009</v>
      </c>
      <c r="N30" s="161">
        <f t="shared" si="2"/>
        <v>0.4008270012566823</v>
      </c>
      <c r="Q30" s="151" t="s">
        <v>146</v>
      </c>
      <c r="R30">
        <f t="shared" si="13"/>
        <v>174.16</v>
      </c>
      <c r="S30" s="2">
        <f>S8</f>
        <v>6.0437000000000003</v>
      </c>
      <c r="T30">
        <f>R30*S30</f>
        <v>1052.570792</v>
      </c>
      <c r="U30" s="148">
        <f t="shared" ref="U30:U51" si="20">U29+R30</f>
        <v>34253.142934840114</v>
      </c>
      <c r="V30">
        <f t="shared" ref="V30:V51" si="21">V29+T30</f>
        <v>715132.46401257557</v>
      </c>
      <c r="W30">
        <f t="shared" ref="W30:W51" si="22">V30/U30</f>
        <v>20.877864123971772</v>
      </c>
      <c r="X30" s="133">
        <f t="shared" si="3"/>
        <v>1.2678641239717727</v>
      </c>
      <c r="Y30" s="159">
        <f t="shared" si="4"/>
        <v>0.36886164638306534</v>
      </c>
    </row>
    <row r="31" spans="2:25" ht="14.45" customHeight="1" thickBot="1">
      <c r="B31" t="s">
        <v>143</v>
      </c>
      <c r="F31" s="151" t="s">
        <v>155</v>
      </c>
      <c r="G31">
        <f t="shared" si="12"/>
        <v>174.16</v>
      </c>
      <c r="H31" s="2">
        <f t="shared" si="19"/>
        <v>21.791699999999999</v>
      </c>
      <c r="I31">
        <f t="shared" si="5"/>
        <v>3795.2424719999999</v>
      </c>
      <c r="J31">
        <f t="shared" si="9"/>
        <v>34427.302934840118</v>
      </c>
      <c r="K31">
        <f t="shared" si="10"/>
        <v>722691.1826484045</v>
      </c>
      <c r="L31">
        <f t="shared" si="6"/>
        <v>20.991803627958539</v>
      </c>
      <c r="M31" s="133">
        <f t="shared" si="1"/>
        <v>1.3818036279585399</v>
      </c>
      <c r="N31" s="161">
        <f t="shared" si="2"/>
        <v>0.40201024033252586</v>
      </c>
      <c r="Q31" s="151" t="s">
        <v>148</v>
      </c>
      <c r="R31">
        <f t="shared" si="13"/>
        <v>174.16</v>
      </c>
      <c r="S31" s="2">
        <f t="shared" ref="S31:S51" si="23">S30+C$9</f>
        <v>6.8311000000000002</v>
      </c>
      <c r="T31">
        <f>R31*S31</f>
        <v>1189.7043759999999</v>
      </c>
      <c r="U31" s="148">
        <f t="shared" si="20"/>
        <v>34427.302934840118</v>
      </c>
      <c r="V31">
        <f t="shared" si="21"/>
        <v>716322.16838857555</v>
      </c>
      <c r="W31">
        <f t="shared" si="22"/>
        <v>20.806804696387182</v>
      </c>
      <c r="X31" s="133">
        <f t="shared" si="3"/>
        <v>1.1968046963871828</v>
      </c>
      <c r="Y31" s="159">
        <f t="shared" si="4"/>
        <v>0.34818821856512228</v>
      </c>
    </row>
    <row r="32" spans="2:25" ht="16.149999999999999" customHeight="1">
      <c r="B32" s="270" t="s">
        <v>178</v>
      </c>
      <c r="C32" s="271"/>
      <c r="D32" s="272"/>
      <c r="F32" s="151" t="s">
        <v>157</v>
      </c>
      <c r="G32">
        <f t="shared" si="12"/>
        <v>174.16</v>
      </c>
      <c r="H32" s="2">
        <f t="shared" si="19"/>
        <v>21.004299999999997</v>
      </c>
      <c r="I32">
        <f t="shared" si="5"/>
        <v>3658.1088879999993</v>
      </c>
      <c r="J32">
        <f t="shared" si="9"/>
        <v>34601.462934840121</v>
      </c>
      <c r="K32">
        <f t="shared" si="10"/>
        <v>726349.29153640452</v>
      </c>
      <c r="L32">
        <f t="shared" si="6"/>
        <v>20.99186652611284</v>
      </c>
      <c r="M32" s="133">
        <f t="shared" si="1"/>
        <v>1.3818665261128409</v>
      </c>
      <c r="N32" s="161">
        <f t="shared" si="2"/>
        <v>0.40202853938864019</v>
      </c>
      <c r="Q32" s="151" t="s">
        <v>151</v>
      </c>
      <c r="R32">
        <f t="shared" si="13"/>
        <v>174.16</v>
      </c>
      <c r="S32" s="2">
        <f t="shared" si="23"/>
        <v>7.6185</v>
      </c>
      <c r="T32">
        <f t="shared" ref="T32:T51" si="24">S32*R32</f>
        <v>1326.8379600000001</v>
      </c>
      <c r="U32" s="148">
        <f t="shared" si="20"/>
        <v>34601.462934840121</v>
      </c>
      <c r="V32">
        <f t="shared" si="21"/>
        <v>717649.00634857558</v>
      </c>
      <c r="W32">
        <f t="shared" si="22"/>
        <v>20.740423828322491</v>
      </c>
      <c r="X32" s="133">
        <f t="shared" si="3"/>
        <v>1.1304238283224919</v>
      </c>
      <c r="Y32" s="159">
        <f t="shared" si="4"/>
        <v>0.32887593121529574</v>
      </c>
    </row>
    <row r="33" spans="2:25" ht="15.75" thickBot="1">
      <c r="B33" s="273"/>
      <c r="C33" s="274"/>
      <c r="D33" s="275"/>
      <c r="F33" s="151" t="s">
        <v>160</v>
      </c>
      <c r="G33">
        <f t="shared" si="12"/>
        <v>174.16</v>
      </c>
      <c r="H33" s="2">
        <f t="shared" si="19"/>
        <v>20.216899999999995</v>
      </c>
      <c r="I33">
        <f t="shared" si="5"/>
        <v>3520.9753039999991</v>
      </c>
      <c r="J33">
        <f t="shared" si="9"/>
        <v>34775.622934840125</v>
      </c>
      <c r="K33">
        <f t="shared" si="10"/>
        <v>729870.26684040448</v>
      </c>
      <c r="L33">
        <f t="shared" si="6"/>
        <v>20.987985411734506</v>
      </c>
      <c r="M33" s="133">
        <f t="shared" si="1"/>
        <v>1.3779854117345067</v>
      </c>
      <c r="N33" s="161">
        <f t="shared" si="2"/>
        <v>0.40089940085374054</v>
      </c>
      <c r="Q33" s="151" t="s">
        <v>154</v>
      </c>
      <c r="R33">
        <f t="shared" si="13"/>
        <v>174.16</v>
      </c>
      <c r="S33" s="2">
        <f t="shared" si="23"/>
        <v>8.4059000000000008</v>
      </c>
      <c r="T33">
        <f t="shared" si="24"/>
        <v>1463.9715440000002</v>
      </c>
      <c r="U33" s="148">
        <f t="shared" si="20"/>
        <v>34775.622934840125</v>
      </c>
      <c r="V33">
        <f t="shared" si="21"/>
        <v>719112.97789257555</v>
      </c>
      <c r="W33">
        <f t="shared" si="22"/>
        <v>20.678651227614065</v>
      </c>
      <c r="X33" s="133">
        <f t="shared" si="3"/>
        <v>1.0686512276140654</v>
      </c>
      <c r="Y33" s="159">
        <f t="shared" si="4"/>
        <v>0.31090433412704088</v>
      </c>
    </row>
    <row r="34" spans="2:25" ht="14.45" customHeight="1" thickBot="1">
      <c r="B34" t="s">
        <v>149</v>
      </c>
      <c r="F34" s="151" t="s">
        <v>162</v>
      </c>
      <c r="G34">
        <f t="shared" si="12"/>
        <v>174.16</v>
      </c>
      <c r="H34" s="2">
        <f t="shared" si="19"/>
        <v>19.429499999999994</v>
      </c>
      <c r="I34">
        <f t="shared" si="5"/>
        <v>3383.841719999999</v>
      </c>
      <c r="J34">
        <f t="shared" si="9"/>
        <v>34949.782934840128</v>
      </c>
      <c r="K34">
        <f t="shared" si="10"/>
        <v>733254.10856040451</v>
      </c>
      <c r="L34">
        <f t="shared" si="6"/>
        <v>20.980219245638033</v>
      </c>
      <c r="M34" s="133">
        <f t="shared" si="1"/>
        <v>1.3702192456380331</v>
      </c>
      <c r="N34" s="161">
        <f t="shared" si="2"/>
        <v>0.39863997828765696</v>
      </c>
      <c r="Q34" s="151" t="s">
        <v>156</v>
      </c>
      <c r="R34">
        <f t="shared" si="13"/>
        <v>174.16</v>
      </c>
      <c r="S34" s="2">
        <f t="shared" si="23"/>
        <v>9.1933000000000007</v>
      </c>
      <c r="T34">
        <f t="shared" si="24"/>
        <v>1601.1051280000001</v>
      </c>
      <c r="U34" s="148">
        <f t="shared" si="20"/>
        <v>34949.782934840128</v>
      </c>
      <c r="V34">
        <f t="shared" si="21"/>
        <v>720714.08302057558</v>
      </c>
      <c r="W34">
        <f t="shared" si="22"/>
        <v>20.621418003203754</v>
      </c>
      <c r="X34" s="133">
        <f t="shared" si="3"/>
        <v>1.0114180032037545</v>
      </c>
      <c r="Y34" s="159">
        <f t="shared" si="4"/>
        <v>0.29425338471957213</v>
      </c>
    </row>
    <row r="35" spans="2:25" ht="14.45" customHeight="1">
      <c r="B35" s="276" t="s">
        <v>152</v>
      </c>
      <c r="C35" s="277"/>
      <c r="D35" s="278"/>
      <c r="F35" s="151" t="s">
        <v>164</v>
      </c>
      <c r="G35">
        <f t="shared" si="12"/>
        <v>174.16</v>
      </c>
      <c r="H35" s="2">
        <f t="shared" si="19"/>
        <v>18.642099999999992</v>
      </c>
      <c r="I35">
        <f t="shared" si="5"/>
        <v>3246.7081359999984</v>
      </c>
      <c r="J35">
        <f t="shared" si="9"/>
        <v>35123.942934840132</v>
      </c>
      <c r="K35">
        <f t="shared" si="10"/>
        <v>736500.81669640448</v>
      </c>
      <c r="L35">
        <f t="shared" si="6"/>
        <v>20.968625819223011</v>
      </c>
      <c r="M35" s="133">
        <f t="shared" si="1"/>
        <v>1.3586258192230112</v>
      </c>
      <c r="N35" s="161">
        <f t="shared" si="2"/>
        <v>0.39526708503055497</v>
      </c>
      <c r="Q35" s="151" t="s">
        <v>158</v>
      </c>
      <c r="R35">
        <f t="shared" si="13"/>
        <v>174.16</v>
      </c>
      <c r="S35" s="2">
        <f t="shared" si="23"/>
        <v>9.9807000000000006</v>
      </c>
      <c r="T35">
        <f t="shared" si="24"/>
        <v>1738.2387120000001</v>
      </c>
      <c r="U35" s="148">
        <f t="shared" si="20"/>
        <v>35123.942934840132</v>
      </c>
      <c r="V35">
        <f t="shared" si="21"/>
        <v>722452.32173257554</v>
      </c>
      <c r="W35">
        <f t="shared" si="22"/>
        <v>20.568656630402415</v>
      </c>
      <c r="X35" s="133">
        <f t="shared" si="3"/>
        <v>0.958656630402416</v>
      </c>
      <c r="Y35" s="159">
        <f t="shared" si="4"/>
        <v>0.2789034379319259</v>
      </c>
    </row>
    <row r="36" spans="2:25" ht="15.75" thickBot="1">
      <c r="B36" s="279"/>
      <c r="C36" s="280"/>
      <c r="D36" s="281"/>
      <c r="F36" s="151" t="s">
        <v>166</v>
      </c>
      <c r="G36">
        <f t="shared" si="12"/>
        <v>174.16</v>
      </c>
      <c r="H36" s="2">
        <f t="shared" si="19"/>
        <v>17.85469999999999</v>
      </c>
      <c r="I36">
        <f t="shared" si="5"/>
        <v>3109.5745519999982</v>
      </c>
      <c r="J36">
        <f t="shared" si="9"/>
        <v>35298.102934840135</v>
      </c>
      <c r="K36">
        <f t="shared" si="10"/>
        <v>739610.39124840451</v>
      </c>
      <c r="L36">
        <f t="shared" si="6"/>
        <v>20.953261783323491</v>
      </c>
      <c r="M36" s="133">
        <f t="shared" ref="M36:M52" si="25">L36-C$5</f>
        <v>1.3432617833234914</v>
      </c>
      <c r="N36" s="161">
        <f t="shared" ref="N36:N52" si="26">M36/C$2</f>
        <v>0.39079720259612499</v>
      </c>
      <c r="Q36" s="151" t="s">
        <v>161</v>
      </c>
      <c r="R36">
        <f t="shared" si="13"/>
        <v>174.16</v>
      </c>
      <c r="S36" s="2">
        <f t="shared" si="23"/>
        <v>10.7681</v>
      </c>
      <c r="T36">
        <f t="shared" si="24"/>
        <v>1875.372296</v>
      </c>
      <c r="U36" s="148">
        <f t="shared" si="20"/>
        <v>35298.102934840135</v>
      </c>
      <c r="V36">
        <f t="shared" si="21"/>
        <v>724327.69402857556</v>
      </c>
      <c r="W36">
        <f t="shared" si="22"/>
        <v>20.520300917181743</v>
      </c>
      <c r="X36" s="133">
        <f t="shared" ref="X36:X52" si="27">W36-C$5</f>
        <v>0.91030091718174333</v>
      </c>
      <c r="Y36" s="159">
        <f t="shared" ref="Y36:Y52" si="28">X36/C$2</f>
        <v>0.26483523641619172</v>
      </c>
    </row>
    <row r="37" spans="2:25">
      <c r="F37" s="151" t="s">
        <v>169</v>
      </c>
      <c r="G37">
        <f t="shared" si="12"/>
        <v>174.16</v>
      </c>
      <c r="H37" s="2">
        <f t="shared" si="19"/>
        <v>17.067299999999989</v>
      </c>
      <c r="I37">
        <f t="shared" si="5"/>
        <v>2972.4409679999981</v>
      </c>
      <c r="J37">
        <f t="shared" si="9"/>
        <v>35472.262934840139</v>
      </c>
      <c r="K37">
        <f t="shared" si="10"/>
        <v>742582.83221640449</v>
      </c>
      <c r="L37">
        <f t="shared" si="6"/>
        <v>20.934182676207406</v>
      </c>
      <c r="M37" s="133">
        <f t="shared" si="25"/>
        <v>1.3241826762074069</v>
      </c>
      <c r="N37" s="161">
        <f t="shared" si="26"/>
        <v>0.38524648881749735</v>
      </c>
      <c r="Q37" s="151" t="s">
        <v>163</v>
      </c>
      <c r="R37">
        <f t="shared" si="13"/>
        <v>174.16</v>
      </c>
      <c r="S37" s="2">
        <f t="shared" si="23"/>
        <v>11.5555</v>
      </c>
      <c r="T37">
        <f t="shared" si="24"/>
        <v>2012.5058799999999</v>
      </c>
      <c r="U37" s="148">
        <f t="shared" si="20"/>
        <v>35472.262934840139</v>
      </c>
      <c r="V37">
        <f t="shared" si="21"/>
        <v>726340.19990857551</v>
      </c>
      <c r="W37">
        <f t="shared" si="22"/>
        <v>20.476285971459095</v>
      </c>
      <c r="X37" s="133">
        <f t="shared" si="27"/>
        <v>0.8662859714590958</v>
      </c>
      <c r="Y37" s="159">
        <f t="shared" si="28"/>
        <v>0.25202990101963746</v>
      </c>
    </row>
    <row r="38" spans="2:25" ht="15.75" thickBot="1">
      <c r="F38" s="151" t="s">
        <v>171</v>
      </c>
      <c r="G38">
        <f t="shared" si="12"/>
        <v>174.16</v>
      </c>
      <c r="H38" s="2">
        <f t="shared" si="19"/>
        <v>16.279899999999987</v>
      </c>
      <c r="I38">
        <f t="shared" si="5"/>
        <v>2835.3073839999979</v>
      </c>
      <c r="J38">
        <f t="shared" si="9"/>
        <v>35646.422934840142</v>
      </c>
      <c r="K38">
        <f t="shared" si="10"/>
        <v>745418.13960040454</v>
      </c>
      <c r="L38">
        <f t="shared" si="6"/>
        <v>20.911442950755287</v>
      </c>
      <c r="M38" s="133">
        <f t="shared" si="25"/>
        <v>1.3014429507552876</v>
      </c>
      <c r="N38" s="161">
        <f t="shared" si="26"/>
        <v>0.37863078575438713</v>
      </c>
      <c r="Q38" s="151" t="s">
        <v>165</v>
      </c>
      <c r="R38">
        <f t="shared" si="13"/>
        <v>174.16</v>
      </c>
      <c r="S38" s="2">
        <f t="shared" si="23"/>
        <v>12.3429</v>
      </c>
      <c r="T38">
        <f t="shared" si="24"/>
        <v>2149.6394639999999</v>
      </c>
      <c r="U38" s="148">
        <f t="shared" si="20"/>
        <v>35646.422934840142</v>
      </c>
      <c r="V38">
        <f t="shared" si="21"/>
        <v>728489.83937257552</v>
      </c>
      <c r="W38">
        <f t="shared" si="22"/>
        <v>20.436548169341368</v>
      </c>
      <c r="X38" s="133">
        <f t="shared" si="27"/>
        <v>0.82654816934136832</v>
      </c>
      <c r="Y38" s="159">
        <f t="shared" si="28"/>
        <v>0.24046892154584978</v>
      </c>
    </row>
    <row r="39" spans="2:25">
      <c r="B39" s="291" t="s">
        <v>179</v>
      </c>
      <c r="C39" s="292"/>
      <c r="D39" s="293"/>
      <c r="F39" s="151" t="s">
        <v>174</v>
      </c>
      <c r="G39">
        <f t="shared" si="12"/>
        <v>174.16</v>
      </c>
      <c r="H39" s="2">
        <f t="shared" si="19"/>
        <v>15.492499999999987</v>
      </c>
      <c r="I39">
        <f t="shared" si="5"/>
        <v>2698.1737999999978</v>
      </c>
      <c r="J39">
        <f t="shared" si="9"/>
        <v>35820.582934840146</v>
      </c>
      <c r="K39">
        <f t="shared" si="10"/>
        <v>748116.31340040453</v>
      </c>
      <c r="L39">
        <f t="shared" si="6"/>
        <v>20.885096000846058</v>
      </c>
      <c r="M39" s="133">
        <f t="shared" si="25"/>
        <v>1.2750960008460588</v>
      </c>
      <c r="N39" s="161">
        <f t="shared" si="26"/>
        <v>0.3709656273695548</v>
      </c>
      <c r="Q39" s="151" t="s">
        <v>167</v>
      </c>
      <c r="R39">
        <f t="shared" si="13"/>
        <v>174.16</v>
      </c>
      <c r="S39" s="2">
        <f t="shared" si="23"/>
        <v>13.1303</v>
      </c>
      <c r="T39">
        <f t="shared" si="24"/>
        <v>2286.773048</v>
      </c>
      <c r="U39" s="148">
        <f t="shared" si="20"/>
        <v>35820.582934840146</v>
      </c>
      <c r="V39">
        <f t="shared" si="21"/>
        <v>730776.61242057546</v>
      </c>
      <c r="W39">
        <f t="shared" si="22"/>
        <v>20.401025124295249</v>
      </c>
      <c r="X39" s="133">
        <f t="shared" si="27"/>
        <v>0.79102512429524907</v>
      </c>
      <c r="Y39" s="159">
        <f t="shared" si="28"/>
        <v>0.23013414778539037</v>
      </c>
    </row>
    <row r="40" spans="2:25">
      <c r="B40" s="294"/>
      <c r="C40" s="254"/>
      <c r="D40" s="295"/>
      <c r="F40" s="151" t="s">
        <v>172</v>
      </c>
      <c r="G40">
        <f t="shared" si="12"/>
        <v>174.16</v>
      </c>
      <c r="H40" s="2">
        <f t="shared" si="19"/>
        <v>14.705099999999987</v>
      </c>
      <c r="I40">
        <f t="shared" si="5"/>
        <v>2561.0402159999976</v>
      </c>
      <c r="J40">
        <f t="shared" si="9"/>
        <v>35994.742934840149</v>
      </c>
      <c r="K40">
        <f t="shared" si="10"/>
        <v>750677.35361640458</v>
      </c>
      <c r="L40">
        <f t="shared" si="6"/>
        <v>20.855194186976856</v>
      </c>
      <c r="M40" s="133">
        <f t="shared" si="25"/>
        <v>1.2451941869768568</v>
      </c>
      <c r="N40" s="161">
        <f t="shared" si="26"/>
        <v>0.36226624698241849</v>
      </c>
      <c r="Q40" s="151" t="s">
        <v>170</v>
      </c>
      <c r="R40">
        <f t="shared" si="13"/>
        <v>174.16</v>
      </c>
      <c r="S40" s="2">
        <f t="shared" si="23"/>
        <v>13.9177</v>
      </c>
      <c r="T40">
        <f t="shared" si="24"/>
        <v>2423.9066320000002</v>
      </c>
      <c r="U40" s="148">
        <f t="shared" si="20"/>
        <v>35994.742934840149</v>
      </c>
      <c r="V40">
        <f t="shared" si="21"/>
        <v>733200.51905257546</v>
      </c>
      <c r="W40">
        <f t="shared" si="22"/>
        <v>20.369655657212476</v>
      </c>
      <c r="X40" s="133">
        <f t="shared" si="27"/>
        <v>0.75965565721247685</v>
      </c>
      <c r="Y40" s="159">
        <f t="shared" si="28"/>
        <v>0.22100778080683522</v>
      </c>
    </row>
    <row r="41" spans="2:25">
      <c r="B41" s="294"/>
      <c r="C41" s="254"/>
      <c r="D41" s="295"/>
      <c r="F41" s="151" t="s">
        <v>170</v>
      </c>
      <c r="G41">
        <f t="shared" si="12"/>
        <v>174.16</v>
      </c>
      <c r="H41" s="2">
        <f t="shared" si="19"/>
        <v>13.917699999999988</v>
      </c>
      <c r="I41">
        <f t="shared" si="5"/>
        <v>2423.9066319999979</v>
      </c>
      <c r="J41">
        <f t="shared" si="9"/>
        <v>36168.902934840153</v>
      </c>
      <c r="K41">
        <f t="shared" si="10"/>
        <v>753101.26024840458</v>
      </c>
      <c r="L41">
        <f t="shared" si="6"/>
        <v>20.821788861142654</v>
      </c>
      <c r="M41" s="133">
        <f t="shared" si="25"/>
        <v>1.2117888611426544</v>
      </c>
      <c r="N41" s="161">
        <f t="shared" si="26"/>
        <v>0.35254758450732115</v>
      </c>
      <c r="Q41" s="151" t="s">
        <v>172</v>
      </c>
      <c r="R41">
        <f t="shared" si="13"/>
        <v>174.16</v>
      </c>
      <c r="S41" s="2">
        <f t="shared" si="23"/>
        <v>14.7051</v>
      </c>
      <c r="T41">
        <f t="shared" si="24"/>
        <v>2561.0402159999999</v>
      </c>
      <c r="U41" s="148">
        <f t="shared" si="20"/>
        <v>36168.902934840153</v>
      </c>
      <c r="V41">
        <f t="shared" si="21"/>
        <v>735761.55926857551</v>
      </c>
      <c r="W41">
        <f t="shared" si="22"/>
        <v>20.342379767339967</v>
      </c>
      <c r="X41" s="133">
        <f t="shared" si="27"/>
        <v>0.73237976733996746</v>
      </c>
      <c r="Y41" s="159">
        <f t="shared" si="28"/>
        <v>0.21307236449943209</v>
      </c>
    </row>
    <row r="42" spans="2:25">
      <c r="B42" s="294"/>
      <c r="C42" s="254"/>
      <c r="D42" s="295"/>
      <c r="F42" s="151" t="s">
        <v>167</v>
      </c>
      <c r="G42">
        <f t="shared" si="12"/>
        <v>174.16</v>
      </c>
      <c r="H42" s="2">
        <f t="shared" si="19"/>
        <v>13.130299999999988</v>
      </c>
      <c r="I42">
        <f t="shared" si="5"/>
        <v>2286.7730479999977</v>
      </c>
      <c r="J42">
        <f t="shared" si="9"/>
        <v>36343.062934840156</v>
      </c>
      <c r="K42">
        <f t="shared" si="10"/>
        <v>755388.03329640452</v>
      </c>
      <c r="L42">
        <f t="shared" si="6"/>
        <v>20.784930391000543</v>
      </c>
      <c r="M42" s="133">
        <f t="shared" si="25"/>
        <v>1.1749303910005438</v>
      </c>
      <c r="N42" s="161">
        <f t="shared" si="26"/>
        <v>0.34182429348368248</v>
      </c>
      <c r="Q42" s="151" t="s">
        <v>174</v>
      </c>
      <c r="R42">
        <f t="shared" si="13"/>
        <v>174.16</v>
      </c>
      <c r="S42" s="2">
        <f t="shared" si="23"/>
        <v>15.4925</v>
      </c>
      <c r="T42">
        <f t="shared" si="24"/>
        <v>2698.1738</v>
      </c>
      <c r="U42" s="148">
        <f t="shared" si="20"/>
        <v>36343.062934840156</v>
      </c>
      <c r="V42">
        <f t="shared" si="21"/>
        <v>738459.7330685755</v>
      </c>
      <c r="W42">
        <f t="shared" si="22"/>
        <v>20.319138604045769</v>
      </c>
      <c r="X42" s="133">
        <f t="shared" si="27"/>
        <v>0.70913860404576923</v>
      </c>
      <c r="Y42" s="159">
        <f t="shared" si="28"/>
        <v>0.20631077735892675</v>
      </c>
    </row>
    <row r="43" spans="2:25">
      <c r="B43" s="294"/>
      <c r="C43" s="254"/>
      <c r="D43" s="295"/>
      <c r="F43" s="151" t="s">
        <v>165</v>
      </c>
      <c r="G43">
        <f t="shared" si="12"/>
        <v>174.16</v>
      </c>
      <c r="H43" s="2">
        <f t="shared" si="19"/>
        <v>12.342899999999988</v>
      </c>
      <c r="I43">
        <f t="shared" si="5"/>
        <v>2149.639463999998</v>
      </c>
      <c r="J43">
        <f t="shared" si="9"/>
        <v>36517.22293484016</v>
      </c>
      <c r="K43">
        <f t="shared" si="10"/>
        <v>757537.67276040453</v>
      </c>
      <c r="L43">
        <f t="shared" si="6"/>
        <v>20.744668183342522</v>
      </c>
      <c r="M43" s="133">
        <f t="shared" si="25"/>
        <v>1.134668183342523</v>
      </c>
      <c r="N43" s="161">
        <f t="shared" si="26"/>
        <v>0.33011074790497263</v>
      </c>
      <c r="Q43" s="151" t="s">
        <v>171</v>
      </c>
      <c r="R43">
        <f t="shared" si="13"/>
        <v>174.16</v>
      </c>
      <c r="S43" s="2">
        <f t="shared" si="23"/>
        <v>16.279900000000001</v>
      </c>
      <c r="T43">
        <f t="shared" si="24"/>
        <v>2835.3073840000002</v>
      </c>
      <c r="U43" s="148">
        <f t="shared" si="20"/>
        <v>36517.22293484016</v>
      </c>
      <c r="V43">
        <f t="shared" si="21"/>
        <v>741295.04045257554</v>
      </c>
      <c r="W43">
        <f t="shared" si="22"/>
        <v>20.299874439392944</v>
      </c>
      <c r="X43" s="133">
        <f t="shared" si="27"/>
        <v>0.68987443939294479</v>
      </c>
      <c r="Y43" s="159">
        <f t="shared" si="28"/>
        <v>0.20070622450844047</v>
      </c>
    </row>
    <row r="44" spans="2:25">
      <c r="B44" s="294"/>
      <c r="C44" s="254"/>
      <c r="D44" s="295"/>
      <c r="F44" s="151" t="s">
        <v>163</v>
      </c>
      <c r="G44">
        <f t="shared" si="12"/>
        <v>174.16</v>
      </c>
      <c r="H44" s="2">
        <f t="shared" si="19"/>
        <v>11.555499999999988</v>
      </c>
      <c r="I44">
        <f t="shared" si="5"/>
        <v>2012.5058799999979</v>
      </c>
      <c r="J44">
        <f t="shared" si="9"/>
        <v>36691.382934840163</v>
      </c>
      <c r="K44">
        <f t="shared" si="10"/>
        <v>759550.17864040448</v>
      </c>
      <c r="L44">
        <f t="shared" si="6"/>
        <v>20.701050706899807</v>
      </c>
      <c r="M44" s="133">
        <f t="shared" si="25"/>
        <v>1.0910507068998072</v>
      </c>
      <c r="N44" s="161">
        <f t="shared" si="26"/>
        <v>0.3174210488532051</v>
      </c>
      <c r="Q44" s="151" t="s">
        <v>169</v>
      </c>
      <c r="R44">
        <f t="shared" si="13"/>
        <v>174.16</v>
      </c>
      <c r="S44" s="2">
        <f t="shared" si="23"/>
        <v>17.067300000000003</v>
      </c>
      <c r="T44">
        <f t="shared" si="24"/>
        <v>2972.4409680000003</v>
      </c>
      <c r="U44" s="148">
        <f t="shared" si="20"/>
        <v>36691.382934840163</v>
      </c>
      <c r="V44">
        <f t="shared" si="21"/>
        <v>744267.48142057552</v>
      </c>
      <c r="W44">
        <f t="shared" si="22"/>
        <v>20.284530641494552</v>
      </c>
      <c r="X44" s="133">
        <f t="shared" si="27"/>
        <v>0.67453064149455244</v>
      </c>
      <c r="Y44" s="159">
        <f t="shared" si="28"/>
        <v>0.19624222994659418</v>
      </c>
    </row>
    <row r="45" spans="2:25" ht="15.75" thickBot="1">
      <c r="B45" s="296"/>
      <c r="C45" s="297"/>
      <c r="D45" s="298"/>
      <c r="F45" s="151" t="s">
        <v>161</v>
      </c>
      <c r="G45">
        <f t="shared" si="12"/>
        <v>174.16</v>
      </c>
      <c r="H45" s="2">
        <f t="shared" si="19"/>
        <v>10.768099999999988</v>
      </c>
      <c r="I45">
        <f t="shared" si="5"/>
        <v>1875.372295999998</v>
      </c>
      <c r="J45">
        <f t="shared" si="9"/>
        <v>36865.542934840167</v>
      </c>
      <c r="K45">
        <f t="shared" si="10"/>
        <v>761425.5509364045</v>
      </c>
      <c r="L45">
        <f t="shared" si="6"/>
        <v>20.654125514500734</v>
      </c>
      <c r="M45" s="133">
        <f t="shared" si="25"/>
        <v>1.0441255145007347</v>
      </c>
      <c r="N45" s="161">
        <f t="shared" si="26"/>
        <v>0.30376903094537022</v>
      </c>
      <c r="Q45" s="151" t="s">
        <v>166</v>
      </c>
      <c r="R45">
        <f t="shared" si="13"/>
        <v>174.16</v>
      </c>
      <c r="S45" s="2">
        <f t="shared" si="23"/>
        <v>17.854700000000005</v>
      </c>
      <c r="T45">
        <f t="shared" si="24"/>
        <v>3109.5745520000009</v>
      </c>
      <c r="U45" s="148">
        <f t="shared" si="20"/>
        <v>36865.542934840167</v>
      </c>
      <c r="V45">
        <f t="shared" si="21"/>
        <v>747377.05597257556</v>
      </c>
      <c r="W45">
        <f t="shared" si="22"/>
        <v>20.27305164862387</v>
      </c>
      <c r="X45" s="133">
        <f t="shared" si="27"/>
        <v>0.66305164862387045</v>
      </c>
      <c r="Y45" s="159">
        <f t="shared" si="28"/>
        <v>0.19290262901535629</v>
      </c>
    </row>
    <row r="46" spans="2:25">
      <c r="F46" s="151" t="s">
        <v>158</v>
      </c>
      <c r="G46">
        <f t="shared" si="12"/>
        <v>174.16</v>
      </c>
      <c r="H46" s="2">
        <f t="shared" si="19"/>
        <v>9.9806999999999881</v>
      </c>
      <c r="I46">
        <f t="shared" si="5"/>
        <v>1738.2387119999978</v>
      </c>
      <c r="J46">
        <f t="shared" si="9"/>
        <v>37039.70293484017</v>
      </c>
      <c r="K46">
        <f t="shared" si="10"/>
        <v>763163.78964840446</v>
      </c>
      <c r="L46">
        <f t="shared" si="6"/>
        <v>20.603939264603543</v>
      </c>
      <c r="M46" s="133">
        <f t="shared" si="25"/>
        <v>0.99393926460354365</v>
      </c>
      <c r="N46" s="162">
        <f t="shared" si="26"/>
        <v>0.28916826859799905</v>
      </c>
      <c r="Q46" s="151" t="s">
        <v>164</v>
      </c>
      <c r="R46">
        <f t="shared" si="13"/>
        <v>174.16</v>
      </c>
      <c r="S46" s="2">
        <f t="shared" si="23"/>
        <v>18.642100000000006</v>
      </c>
      <c r="T46">
        <f t="shared" si="24"/>
        <v>3246.7081360000011</v>
      </c>
      <c r="U46" s="148">
        <f t="shared" si="20"/>
        <v>37039.70293484017</v>
      </c>
      <c r="V46">
        <f t="shared" si="21"/>
        <v>750623.76410857553</v>
      </c>
      <c r="W46">
        <f t="shared" si="22"/>
        <v>20.265382944055045</v>
      </c>
      <c r="X46" s="133">
        <f t="shared" si="27"/>
        <v>0.65538294405504516</v>
      </c>
      <c r="Y46" s="159">
        <f t="shared" si="28"/>
        <v>0.19067156108039421</v>
      </c>
    </row>
    <row r="47" spans="2:25" ht="14.45" customHeight="1">
      <c r="B47" s="22"/>
      <c r="C47" s="22"/>
      <c r="D47" s="22"/>
      <c r="F47" s="151" t="s">
        <v>156</v>
      </c>
      <c r="G47">
        <f t="shared" si="12"/>
        <v>174.16</v>
      </c>
      <c r="H47" s="2">
        <f t="shared" si="19"/>
        <v>9.1932999999999883</v>
      </c>
      <c r="I47">
        <f t="shared" si="5"/>
        <v>1601.1051279999979</v>
      </c>
      <c r="J47">
        <f t="shared" si="9"/>
        <v>37213.862934840174</v>
      </c>
      <c r="K47">
        <f t="shared" si="10"/>
        <v>764764.89477640449</v>
      </c>
      <c r="L47">
        <f t="shared" si="6"/>
        <v>20.550537742224556</v>
      </c>
      <c r="M47" s="133">
        <f t="shared" si="25"/>
        <v>0.94053774222455644</v>
      </c>
      <c r="N47" s="162">
        <f t="shared" si="26"/>
        <v>0.27363208211583157</v>
      </c>
      <c r="Q47" s="151" t="s">
        <v>162</v>
      </c>
      <c r="R47">
        <f t="shared" si="13"/>
        <v>174.16</v>
      </c>
      <c r="S47" s="2">
        <f t="shared" si="23"/>
        <v>19.429500000000008</v>
      </c>
      <c r="T47">
        <f t="shared" si="24"/>
        <v>3383.8417200000013</v>
      </c>
      <c r="U47" s="148">
        <f t="shared" si="20"/>
        <v>37213.862934840174</v>
      </c>
      <c r="V47">
        <f t="shared" si="21"/>
        <v>754007.60582857556</v>
      </c>
      <c r="W47">
        <f>V47/U47</f>
        <v>20.261471031610167</v>
      </c>
      <c r="X47" s="133">
        <f t="shared" si="27"/>
        <v>0.65147103161016773</v>
      </c>
      <c r="Y47" s="159">
        <f t="shared" si="28"/>
        <v>0.18953346241694782</v>
      </c>
    </row>
    <row r="48" spans="2:25">
      <c r="B48" s="22"/>
      <c r="C48" s="22"/>
      <c r="D48" s="22"/>
      <c r="F48" s="151" t="s">
        <v>154</v>
      </c>
      <c r="G48">
        <f t="shared" si="12"/>
        <v>174.16</v>
      </c>
      <c r="H48" s="2">
        <f t="shared" si="19"/>
        <v>8.4058999999999884</v>
      </c>
      <c r="I48">
        <f t="shared" si="5"/>
        <v>1463.9715439999979</v>
      </c>
      <c r="J48">
        <f t="shared" si="9"/>
        <v>37388.022934840177</v>
      </c>
      <c r="K48">
        <f t="shared" si="10"/>
        <v>766228.86632040446</v>
      </c>
      <c r="L48">
        <f t="shared" si="6"/>
        <v>20.493965879281387</v>
      </c>
      <c r="M48" s="133">
        <f t="shared" si="25"/>
        <v>0.88396587928138715</v>
      </c>
      <c r="N48" s="162">
        <f t="shared" si="26"/>
        <v>0.25717354361029759</v>
      </c>
      <c r="Q48" s="151" t="s">
        <v>160</v>
      </c>
      <c r="R48">
        <f t="shared" si="13"/>
        <v>174.16</v>
      </c>
      <c r="S48" s="2">
        <f t="shared" si="23"/>
        <v>20.21690000000001</v>
      </c>
      <c r="T48">
        <f t="shared" si="24"/>
        <v>3520.9753040000014</v>
      </c>
      <c r="U48" s="148">
        <f t="shared" si="20"/>
        <v>37388.022934840177</v>
      </c>
      <c r="V48">
        <f t="shared" si="21"/>
        <v>757528.58113257552</v>
      </c>
      <c r="W48">
        <f t="shared" si="22"/>
        <v>20.261263411889843</v>
      </c>
      <c r="X48" s="133">
        <f t="shared" si="27"/>
        <v>0.65126341188984327</v>
      </c>
      <c r="Y48" s="159">
        <f t="shared" si="28"/>
        <v>0.18947305929455283</v>
      </c>
    </row>
    <row r="49" spans="2:25">
      <c r="B49" s="22"/>
      <c r="C49" s="22"/>
      <c r="D49" s="22"/>
      <c r="F49" s="151" t="s">
        <v>151</v>
      </c>
      <c r="G49">
        <f t="shared" si="12"/>
        <v>174.16</v>
      </c>
      <c r="H49" s="2">
        <f t="shared" si="19"/>
        <v>7.6184999999999885</v>
      </c>
      <c r="I49">
        <f t="shared" si="5"/>
        <v>1326.837959999998</v>
      </c>
      <c r="J49">
        <f t="shared" si="9"/>
        <v>37562.182934840181</v>
      </c>
      <c r="K49">
        <f t="shared" si="10"/>
        <v>767555.70428040449</v>
      </c>
      <c r="L49">
        <f t="shared" si="6"/>
        <v>20.434267774370241</v>
      </c>
      <c r="M49" s="133">
        <f t="shared" si="25"/>
        <v>0.82426777437024157</v>
      </c>
      <c r="N49" s="162">
        <f t="shared" si="26"/>
        <v>0.23980548275335645</v>
      </c>
      <c r="P49" s="148"/>
      <c r="Q49" s="152" t="s">
        <v>157</v>
      </c>
      <c r="R49" s="148">
        <f t="shared" si="13"/>
        <v>174.16</v>
      </c>
      <c r="S49" s="147">
        <f t="shared" si="23"/>
        <v>21.004300000000011</v>
      </c>
      <c r="T49" s="148">
        <f t="shared" si="24"/>
        <v>3658.108888000002</v>
      </c>
      <c r="U49" s="148">
        <f t="shared" si="20"/>
        <v>37562.182934840181</v>
      </c>
      <c r="V49" s="148">
        <f t="shared" si="21"/>
        <v>761186.69002057554</v>
      </c>
      <c r="W49">
        <f t="shared" si="22"/>
        <v>20.264708559164951</v>
      </c>
      <c r="X49" s="133">
        <f t="shared" si="27"/>
        <v>0.65470855916495196</v>
      </c>
      <c r="Y49" s="159">
        <f t="shared" si="28"/>
        <v>0.19047536125412545</v>
      </c>
    </row>
    <row r="50" spans="2:25">
      <c r="B50" s="22"/>
      <c r="C50" s="22"/>
      <c r="D50" s="22"/>
      <c r="F50" s="151" t="s">
        <v>148</v>
      </c>
      <c r="G50">
        <f t="shared" si="12"/>
        <v>174.16</v>
      </c>
      <c r="H50" s="2">
        <f t="shared" si="19"/>
        <v>6.8310999999999886</v>
      </c>
      <c r="I50">
        <f t="shared" si="5"/>
        <v>1189.7043759999981</v>
      </c>
      <c r="J50">
        <f t="shared" si="9"/>
        <v>37736.342934840184</v>
      </c>
      <c r="K50">
        <f t="shared" si="10"/>
        <v>768745.40865640447</v>
      </c>
      <c r="L50">
        <f t="shared" si="6"/>
        <v>20.371486711995562</v>
      </c>
      <c r="M50" s="133">
        <f t="shared" si="25"/>
        <v>0.76148671199556262</v>
      </c>
      <c r="N50" s="162">
        <f t="shared" si="26"/>
        <v>0.22154049237200737</v>
      </c>
      <c r="P50" s="148"/>
      <c r="Q50" s="152" t="s">
        <v>155</v>
      </c>
      <c r="R50" s="148">
        <f t="shared" si="13"/>
        <v>174.16</v>
      </c>
      <c r="S50" s="147">
        <f t="shared" si="23"/>
        <v>21.791700000000013</v>
      </c>
      <c r="T50" s="148">
        <f t="shared" si="24"/>
        <v>3795.2424720000022</v>
      </c>
      <c r="U50" s="148">
        <f t="shared" si="20"/>
        <v>37736.342934840184</v>
      </c>
      <c r="V50" s="148">
        <f t="shared" si="21"/>
        <v>764981.93249257549</v>
      </c>
      <c r="W50">
        <f t="shared" si="22"/>
        <v>20.271755898908363</v>
      </c>
      <c r="X50" s="133">
        <f t="shared" si="27"/>
        <v>0.66175589890836406</v>
      </c>
      <c r="Y50" s="159">
        <f t="shared" si="28"/>
        <v>0.19252565457122989</v>
      </c>
    </row>
    <row r="51" spans="2:25">
      <c r="B51" s="22"/>
      <c r="C51" s="22"/>
      <c r="D51" s="22"/>
      <c r="F51" s="151" t="s">
        <v>146</v>
      </c>
      <c r="G51">
        <f t="shared" si="12"/>
        <v>174.16</v>
      </c>
      <c r="H51" s="2">
        <f t="shared" si="19"/>
        <v>6.0436999999999887</v>
      </c>
      <c r="I51">
        <f t="shared" si="5"/>
        <v>1052.5707919999979</v>
      </c>
      <c r="J51">
        <f t="shared" si="9"/>
        <v>37910.502934840188</v>
      </c>
      <c r="K51">
        <f t="shared" si="10"/>
        <v>769797.97944840451</v>
      </c>
      <c r="L51">
        <f t="shared" si="6"/>
        <v>20.305665181269628</v>
      </c>
      <c r="M51" s="133">
        <f t="shared" si="25"/>
        <v>0.69566518126962862</v>
      </c>
      <c r="N51" s="162">
        <f t="shared" si="26"/>
        <v>0.20239093388859208</v>
      </c>
      <c r="P51" s="148"/>
      <c r="Q51" s="152" t="s">
        <v>153</v>
      </c>
      <c r="R51" s="148">
        <f t="shared" si="13"/>
        <v>174.16</v>
      </c>
      <c r="S51" s="147">
        <f t="shared" si="23"/>
        <v>22.579100000000015</v>
      </c>
      <c r="T51" s="148">
        <f t="shared" si="24"/>
        <v>3932.3760560000023</v>
      </c>
      <c r="U51" s="148">
        <f t="shared" si="20"/>
        <v>37910.502934840188</v>
      </c>
      <c r="V51" s="148">
        <f t="shared" si="21"/>
        <v>768914.3085485755</v>
      </c>
      <c r="W51">
        <f t="shared" si="22"/>
        <v>20.282355785945917</v>
      </c>
      <c r="X51" s="133">
        <f t="shared" si="27"/>
        <v>0.67235578594591772</v>
      </c>
      <c r="Y51" s="159">
        <f t="shared" si="28"/>
        <v>0.19560949589950902</v>
      </c>
    </row>
    <row r="52" spans="2:25">
      <c r="E52" t="s">
        <v>35</v>
      </c>
      <c r="F52" s="151" t="s">
        <v>35</v>
      </c>
      <c r="G52" s="145">
        <f>'Weight Pie Charts'!D40</f>
        <v>3729.4970651599142</v>
      </c>
      <c r="H52" s="133">
        <f>cg_loading_exx!C30</f>
        <v>20.469308724832214</v>
      </c>
      <c r="I52">
        <f t="shared" si="5"/>
        <v>76340.226815113972</v>
      </c>
      <c r="J52">
        <f t="shared" si="9"/>
        <v>41640.000000000102</v>
      </c>
      <c r="K52">
        <f t="shared" si="10"/>
        <v>846138.20626351843</v>
      </c>
      <c r="L52">
        <f t="shared" si="6"/>
        <v>20.320321956376475</v>
      </c>
      <c r="M52" s="133">
        <f t="shared" si="25"/>
        <v>0.71032195637647533</v>
      </c>
      <c r="N52" s="163">
        <f t="shared" si="26"/>
        <v>0.20665505186019437</v>
      </c>
      <c r="P52" s="148" t="s">
        <v>35</v>
      </c>
      <c r="Q52" s="152" t="s">
        <v>35</v>
      </c>
      <c r="R52" s="147">
        <f>G52</f>
        <v>3729.4970651599142</v>
      </c>
      <c r="S52" s="149">
        <f>H52</f>
        <v>20.469308724832214</v>
      </c>
      <c r="T52" s="148">
        <f>R52*S52</f>
        <v>76340.226815113972</v>
      </c>
      <c r="U52" s="148">
        <f>U51+R52</f>
        <v>41640.000000000102</v>
      </c>
      <c r="V52" s="148">
        <f>V51+T52</f>
        <v>845254.53536368953</v>
      </c>
      <c r="W52">
        <f>V52/U52</f>
        <v>20.299100272903157</v>
      </c>
      <c r="X52" s="133">
        <f t="shared" si="27"/>
        <v>0.68910027290315767</v>
      </c>
      <c r="Y52" s="155">
        <f t="shared" si="28"/>
        <v>0.20048099506894587</v>
      </c>
    </row>
    <row r="53" spans="2:25" ht="14.45" customHeight="1">
      <c r="B53" s="22"/>
      <c r="C53" s="22"/>
      <c r="D53" s="22"/>
    </row>
    <row r="54" spans="2:25">
      <c r="B54" s="22"/>
      <c r="C54" s="22"/>
      <c r="D54" s="22"/>
    </row>
    <row r="55" spans="2:25">
      <c r="B55" s="22"/>
      <c r="C55" s="22"/>
      <c r="D55" s="22"/>
      <c r="O55" s="148"/>
      <c r="P55" s="148"/>
      <c r="Q55" s="148"/>
      <c r="R55" s="148"/>
      <c r="S55" s="147"/>
      <c r="T55" s="148"/>
      <c r="U55" s="148"/>
      <c r="V55" s="148"/>
      <c r="X55" s="133"/>
      <c r="Y55" s="159"/>
    </row>
    <row r="56" spans="2:25">
      <c r="B56" s="22"/>
      <c r="C56" s="22"/>
      <c r="D56" s="22"/>
      <c r="O56" s="148"/>
      <c r="P56" s="148"/>
      <c r="Q56" s="148"/>
      <c r="R56" s="148"/>
      <c r="S56" s="147"/>
      <c r="T56" s="148"/>
      <c r="U56" s="148"/>
      <c r="V56" s="148"/>
      <c r="X56" s="133"/>
      <c r="Y56" s="159"/>
    </row>
    <row r="57" spans="2:25">
      <c r="O57" s="148"/>
    </row>
    <row r="58" spans="2:25">
      <c r="O58" s="148"/>
    </row>
    <row r="59" spans="2:25">
      <c r="O59" s="148"/>
    </row>
    <row r="60" spans="2:25">
      <c r="O60" s="148"/>
    </row>
    <row r="61" spans="2:25">
      <c r="O61" s="148"/>
    </row>
    <row r="62" spans="2:25">
      <c r="N62" s="148"/>
      <c r="O62" s="148"/>
      <c r="P62" s="148"/>
      <c r="Q62" s="148"/>
      <c r="R62" s="148"/>
      <c r="S62" s="148"/>
      <c r="T62" s="148"/>
      <c r="U62" s="148"/>
      <c r="V62" s="148"/>
    </row>
    <row r="63" spans="2:25">
      <c r="N63" s="148"/>
      <c r="O63" s="148"/>
      <c r="P63" s="148"/>
      <c r="Q63" s="148"/>
      <c r="R63" s="148"/>
      <c r="S63" s="148"/>
      <c r="T63" s="148"/>
      <c r="U63" s="148"/>
      <c r="V63" s="148"/>
    </row>
    <row r="64" spans="2:25">
      <c r="N64" s="148"/>
      <c r="O64" s="148"/>
      <c r="P64" s="148"/>
      <c r="Q64" s="148"/>
      <c r="R64" s="148"/>
      <c r="S64" s="148"/>
      <c r="T64" s="148"/>
      <c r="U64" s="148"/>
      <c r="V64" s="148"/>
    </row>
  </sheetData>
  <mergeCells count="6">
    <mergeCell ref="B39:D45"/>
    <mergeCell ref="B11:D18"/>
    <mergeCell ref="B20:D26"/>
    <mergeCell ref="B28:D30"/>
    <mergeCell ref="B32:D33"/>
    <mergeCell ref="B35:D36"/>
  </mergeCells>
  <conditionalFormatting sqref="N4:N52 Y4:Y52">
    <cfRule type="top10" dxfId="2" priority="1" percent="1" bottom="1" rank="1"/>
    <cfRule type="top10" dxfId="1" priority="2" percent="1" rank="1"/>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FEDB-FC15-4371-AEDC-F29F27BC36E0}">
  <dimension ref="B3:H17"/>
  <sheetViews>
    <sheetView zoomScale="75" zoomScaleNormal="115" workbookViewId="0">
      <selection activeCell="C6" sqref="C6"/>
    </sheetView>
  </sheetViews>
  <sheetFormatPr defaultRowHeight="15"/>
  <cols>
    <col min="2" max="2" width="12.7109375" customWidth="1"/>
    <col min="6" max="6" width="16.28515625" customWidth="1"/>
    <col min="8" max="8" width="9.85546875" customWidth="1"/>
  </cols>
  <sheetData>
    <row r="3" spans="2:8">
      <c r="B3" s="165" t="s">
        <v>180</v>
      </c>
      <c r="F3" s="165" t="s">
        <v>181</v>
      </c>
    </row>
    <row r="5" spans="2:8">
      <c r="B5" s="144" t="s">
        <v>107</v>
      </c>
      <c r="C5" s="144" t="s">
        <v>182</v>
      </c>
      <c r="D5" s="144" t="s">
        <v>183</v>
      </c>
      <c r="F5" s="169" t="s">
        <v>107</v>
      </c>
      <c r="G5" s="169" t="s">
        <v>182</v>
      </c>
      <c r="H5" s="169" t="s">
        <v>183</v>
      </c>
    </row>
    <row r="6" spans="2:8">
      <c r="B6" s="144">
        <f>'CRJ-1000 Loading Diagram'!C4</f>
        <v>0.53623188405797095</v>
      </c>
      <c r="C6" s="144">
        <f>MIN('CRJ-1000 Loading Diagram'!Y4:Y57)-0.02</f>
        <v>0.14175045206693448</v>
      </c>
      <c r="D6" s="144">
        <f>MAX('CRJ-1000 Loading Diagram'!N4:N57)+0.02</f>
        <v>0.76959616697425115</v>
      </c>
      <c r="F6" s="169">
        <f>'CRJ-EXX Loading Diagram'!C4</f>
        <v>0.53623188405797095</v>
      </c>
      <c r="G6" s="169">
        <f>MIN('CRJ-EXX Loading Diagram'!Y4:Y52)-0.02</f>
        <v>0.16947305929455284</v>
      </c>
      <c r="H6" s="169">
        <f>MAX('CRJ-EXX Loading Diagram'!N4:N52)+0.02</f>
        <v>0.74297513901019085</v>
      </c>
    </row>
    <row r="9" spans="2:8" ht="15.75" thickBot="1"/>
    <row r="10" spans="2:8">
      <c r="B10" s="299" t="s">
        <v>184</v>
      </c>
      <c r="C10" s="292"/>
      <c r="D10" s="292"/>
      <c r="E10" s="292"/>
      <c r="F10" s="292"/>
      <c r="G10" s="292"/>
      <c r="H10" s="293"/>
    </row>
    <row r="11" spans="2:8">
      <c r="B11" s="294"/>
      <c r="C11" s="254"/>
      <c r="D11" s="254"/>
      <c r="E11" s="254"/>
      <c r="F11" s="254"/>
      <c r="G11" s="254"/>
      <c r="H11" s="295"/>
    </row>
    <row r="12" spans="2:8" ht="15.75" thickBot="1">
      <c r="B12" s="296"/>
      <c r="C12" s="297"/>
      <c r="D12" s="297"/>
      <c r="E12" s="297"/>
      <c r="F12" s="297"/>
      <c r="G12" s="297"/>
      <c r="H12" s="298"/>
    </row>
    <row r="14" spans="2:8">
      <c r="B14" s="168" t="s">
        <v>107</v>
      </c>
      <c r="C14" s="168" t="s">
        <v>182</v>
      </c>
      <c r="D14" s="168" t="s">
        <v>183</v>
      </c>
      <c r="F14" s="168" t="s">
        <v>107</v>
      </c>
      <c r="G14" s="168" t="s">
        <v>182</v>
      </c>
      <c r="H14" s="168" t="s">
        <v>183</v>
      </c>
    </row>
    <row r="15" spans="2:8">
      <c r="B15" s="168">
        <v>0.25</v>
      </c>
      <c r="C15" s="168">
        <v>1.6528320000000001</v>
      </c>
      <c r="D15" s="168">
        <v>2.1585190000000001</v>
      </c>
      <c r="F15" s="168">
        <v>0.25</v>
      </c>
      <c r="G15" s="168">
        <v>1.6916960000000001</v>
      </c>
      <c r="H15" s="168">
        <v>2.6080290000000002</v>
      </c>
    </row>
    <row r="16" spans="2:8">
      <c r="B16" s="168">
        <v>0.35</v>
      </c>
      <c r="C16" s="168">
        <v>0.59192100000000003</v>
      </c>
      <c r="D16" s="168">
        <v>1.0976079999999999</v>
      </c>
      <c r="F16" s="168">
        <v>0.35</v>
      </c>
      <c r="G16" s="168">
        <v>0.63078500000000004</v>
      </c>
      <c r="H16" s="168">
        <v>1.547118</v>
      </c>
    </row>
    <row r="17" spans="2:8">
      <c r="B17" s="168">
        <v>0.45</v>
      </c>
      <c r="C17" s="168">
        <v>-0.46899000000000002</v>
      </c>
      <c r="D17" s="168">
        <v>3.6697E-2</v>
      </c>
      <c r="F17" s="168">
        <v>0.45</v>
      </c>
      <c r="G17" s="168">
        <v>-0.43013000000000001</v>
      </c>
      <c r="H17" s="168">
        <v>0.486207</v>
      </c>
    </row>
  </sheetData>
  <mergeCells count="1">
    <mergeCell ref="B10:H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3714-A1F7-4B10-995F-F8690457BE5A}">
  <dimension ref="C4:G68"/>
  <sheetViews>
    <sheetView topLeftCell="A28" zoomScale="101" zoomScaleNormal="76" workbookViewId="0">
      <selection activeCell="F44" sqref="F44"/>
    </sheetView>
  </sheetViews>
  <sheetFormatPr defaultRowHeight="15"/>
  <cols>
    <col min="3" max="3" width="18.28515625" customWidth="1"/>
    <col min="4" max="4" width="11.85546875" bestFit="1" customWidth="1"/>
    <col min="6" max="6" width="12.28515625" customWidth="1"/>
  </cols>
  <sheetData>
    <row r="4" spans="3:5">
      <c r="C4" s="165" t="s">
        <v>180</v>
      </c>
    </row>
    <row r="6" spans="3:5">
      <c r="E6" t="s">
        <v>185</v>
      </c>
    </row>
    <row r="7" spans="3:5">
      <c r="C7" t="s">
        <v>186</v>
      </c>
      <c r="D7" s="132">
        <v>41640</v>
      </c>
      <c r="E7">
        <v>100</v>
      </c>
    </row>
    <row r="9" spans="3:5">
      <c r="C9" t="s">
        <v>32</v>
      </c>
      <c r="D9">
        <v>23188</v>
      </c>
      <c r="E9" s="133">
        <f>D9/D$7*100</f>
        <v>55.686839577329494</v>
      </c>
    </row>
    <row r="10" spans="3:5">
      <c r="C10" t="s">
        <v>187</v>
      </c>
      <c r="D10">
        <f>D20</f>
        <v>8708</v>
      </c>
      <c r="E10" s="133">
        <f>D10/D$7*100</f>
        <v>20.912584053794429</v>
      </c>
    </row>
    <row r="11" spans="3:5">
      <c r="C11" t="s">
        <v>67</v>
      </c>
      <c r="D11">
        <f>D7-D9-D18</f>
        <v>6487</v>
      </c>
      <c r="E11" s="133">
        <f>D11/D$7*100</f>
        <v>15.57877041306436</v>
      </c>
    </row>
    <row r="12" spans="3:5">
      <c r="C12" t="s">
        <v>188</v>
      </c>
      <c r="D12">
        <f>D27</f>
        <v>2386.0381291306553</v>
      </c>
      <c r="E12" s="133">
        <f>D12/D$7*100</f>
        <v>5.7301588115529674</v>
      </c>
    </row>
    <row r="13" spans="3:5">
      <c r="C13" t="s">
        <v>189</v>
      </c>
      <c r="D13">
        <f>D26</f>
        <v>870.96187086934412</v>
      </c>
      <c r="E13" s="133">
        <f>D13/D$7*100</f>
        <v>2.0916471442587516</v>
      </c>
    </row>
    <row r="14" spans="3:5">
      <c r="C14" t="s">
        <v>190</v>
      </c>
      <c r="D14">
        <f>SUM(D9:D13)</f>
        <v>41640</v>
      </c>
      <c r="E14" s="133">
        <f>D14/D7*100</f>
        <v>100</v>
      </c>
    </row>
    <row r="18" spans="3:4">
      <c r="C18" t="s">
        <v>191</v>
      </c>
      <c r="D18">
        <v>11965</v>
      </c>
    </row>
    <row r="19" spans="3:4">
      <c r="C19" t="s">
        <v>192</v>
      </c>
      <c r="D19">
        <v>3257</v>
      </c>
    </row>
    <row r="20" spans="3:4">
      <c r="C20" t="s">
        <v>193</v>
      </c>
      <c r="D20">
        <f>D18-D19</f>
        <v>8708</v>
      </c>
    </row>
    <row r="22" spans="3:4">
      <c r="C22" t="s">
        <v>194</v>
      </c>
      <c r="D22">
        <v>5.26</v>
      </c>
    </row>
    <row r="23" spans="3:4">
      <c r="C23" t="s">
        <v>195</v>
      </c>
      <c r="D23">
        <v>14.41</v>
      </c>
    </row>
    <row r="24" spans="3:4">
      <c r="C24" t="s">
        <v>196</v>
      </c>
      <c r="D24">
        <f>D23+D22</f>
        <v>19.670000000000002</v>
      </c>
    </row>
    <row r="26" spans="3:4">
      <c r="C26" t="s">
        <v>197</v>
      </c>
      <c r="D26">
        <f>D22/D24*D19</f>
        <v>870.96187086934412</v>
      </c>
    </row>
    <row r="27" spans="3:4">
      <c r="C27" t="s">
        <v>198</v>
      </c>
      <c r="D27">
        <f>D23/D24*D19</f>
        <v>2386.0381291306553</v>
      </c>
    </row>
    <row r="28" spans="3:4">
      <c r="C28" t="s">
        <v>190</v>
      </c>
      <c r="D28">
        <f>D27+D26</f>
        <v>3256.9999999999995</v>
      </c>
    </row>
    <row r="33" spans="3:5">
      <c r="C33" s="165" t="s">
        <v>181</v>
      </c>
    </row>
    <row r="35" spans="3:5">
      <c r="E35" t="s">
        <v>185</v>
      </c>
    </row>
    <row r="36" spans="3:5">
      <c r="C36" t="s">
        <v>186</v>
      </c>
      <c r="D36" s="132">
        <v>41640</v>
      </c>
      <c r="E36">
        <v>100</v>
      </c>
    </row>
    <row r="38" spans="3:5">
      <c r="C38" t="s">
        <v>32</v>
      </c>
      <c r="D38">
        <f>cg_loading_exx!B68</f>
        <v>22490.462934840085</v>
      </c>
      <c r="E38" s="133">
        <f>D38/D$7*100</f>
        <v>54.011678517867637</v>
      </c>
    </row>
    <row r="39" spans="3:5">
      <c r="C39" t="s">
        <v>187</v>
      </c>
      <c r="D39">
        <f>8708*0.88</f>
        <v>7663.04</v>
      </c>
      <c r="E39" s="133">
        <f>D39/D$7*100</f>
        <v>18.403073967339097</v>
      </c>
    </row>
    <row r="40" spans="3:5">
      <c r="C40" t="s">
        <v>67</v>
      </c>
      <c r="D40">
        <f>D36-D49-D38-D42-D41</f>
        <v>3729.4970651599142</v>
      </c>
      <c r="E40" s="133">
        <f>D40/D36*100</f>
        <v>8.956525132468574</v>
      </c>
    </row>
    <row r="41" spans="3:5">
      <c r="C41" t="s">
        <v>199</v>
      </c>
      <c r="D41">
        <f>G55</f>
        <v>2025</v>
      </c>
      <c r="E41">
        <f>D41/D36*100</f>
        <v>4.8631123919308354</v>
      </c>
    </row>
    <row r="42" spans="3:5">
      <c r="C42" t="s">
        <v>200</v>
      </c>
      <c r="D42">
        <f>G57</f>
        <v>2475</v>
      </c>
      <c r="E42">
        <f>D42/D36*100</f>
        <v>5.9438040345821328</v>
      </c>
    </row>
    <row r="43" spans="3:5">
      <c r="C43" t="s">
        <v>188</v>
      </c>
      <c r="D43">
        <f>D59</f>
        <v>2487.9051878354203</v>
      </c>
      <c r="E43" s="133">
        <f>D43/D$7*100</f>
        <v>5.9747963204500962</v>
      </c>
    </row>
    <row r="44" spans="3:5">
      <c r="C44" t="s">
        <v>189</v>
      </c>
      <c r="D44">
        <f>D58</f>
        <v>769.09481216457959</v>
      </c>
      <c r="E44" s="133">
        <f>D44/D$7*100</f>
        <v>1.8470096353616225</v>
      </c>
    </row>
    <row r="45" spans="3:5">
      <c r="C45" t="s">
        <v>190</v>
      </c>
      <c r="D45">
        <f>SUM(D38:D44)</f>
        <v>41640</v>
      </c>
      <c r="E45" s="133">
        <f>D45/D36*100</f>
        <v>100</v>
      </c>
    </row>
    <row r="46" spans="3:5">
      <c r="E46" s="133"/>
    </row>
    <row r="47" spans="3:5">
      <c r="E47" s="133">
        <f>E39+E43+E44</f>
        <v>26.224879923150816</v>
      </c>
    </row>
    <row r="49" spans="3:7">
      <c r="C49" t="s">
        <v>191</v>
      </c>
      <c r="D49">
        <f>D51+D50</f>
        <v>10920.04</v>
      </c>
    </row>
    <row r="50" spans="3:7">
      <c r="C50" t="s">
        <v>192</v>
      </c>
      <c r="D50">
        <v>3257</v>
      </c>
    </row>
    <row r="51" spans="3:7">
      <c r="C51" t="s">
        <v>193</v>
      </c>
      <c r="D51">
        <f>D39</f>
        <v>7663.04</v>
      </c>
    </row>
    <row r="53" spans="3:7">
      <c r="C53" s="164" t="s">
        <v>201</v>
      </c>
      <c r="F53" s="164" t="s">
        <v>202</v>
      </c>
    </row>
    <row r="54" spans="3:7">
      <c r="C54" t="s">
        <v>194</v>
      </c>
      <c r="D54">
        <f>D22-G54</f>
        <v>3.96</v>
      </c>
      <c r="F54" t="s">
        <v>203</v>
      </c>
      <c r="G54">
        <v>1.3</v>
      </c>
    </row>
    <row r="55" spans="3:7">
      <c r="C55" t="s">
        <v>195</v>
      </c>
      <c r="D55">
        <f>D23-G56</f>
        <v>12.81</v>
      </c>
      <c r="F55" t="s">
        <v>204</v>
      </c>
      <c r="G55">
        <v>2025</v>
      </c>
    </row>
    <row r="56" spans="3:7">
      <c r="C56" t="s">
        <v>196</v>
      </c>
      <c r="D56">
        <f>D55+D54</f>
        <v>16.77</v>
      </c>
      <c r="F56" t="s">
        <v>205</v>
      </c>
      <c r="G56">
        <v>1.6</v>
      </c>
    </row>
    <row r="57" spans="3:7">
      <c r="F57" t="s">
        <v>206</v>
      </c>
      <c r="G57">
        <v>2475</v>
      </c>
    </row>
    <row r="58" spans="3:7">
      <c r="C58" t="s">
        <v>197</v>
      </c>
      <c r="D58">
        <f>D54/D56*D50</f>
        <v>769.09481216457959</v>
      </c>
    </row>
    <row r="59" spans="3:7">
      <c r="C59" t="s">
        <v>198</v>
      </c>
      <c r="D59">
        <f>D55/D56*D50</f>
        <v>2487.9051878354203</v>
      </c>
    </row>
    <row r="60" spans="3:7">
      <c r="C60" t="s">
        <v>190</v>
      </c>
      <c r="D60">
        <f>D59+D58</f>
        <v>3257</v>
      </c>
    </row>
    <row r="62" spans="3:7">
      <c r="C62" s="164" t="s">
        <v>207</v>
      </c>
    </row>
    <row r="63" spans="3:7">
      <c r="C63" t="s">
        <v>208</v>
      </c>
      <c r="D63">
        <f>cg_loading!B51*D36</f>
        <v>14573.999999999998</v>
      </c>
    </row>
    <row r="64" spans="3:7">
      <c r="C64" t="s">
        <v>209</v>
      </c>
      <c r="D64" s="138">
        <f>cg_loading!B48*D36</f>
        <v>8203.08</v>
      </c>
    </row>
    <row r="66" spans="3:4">
      <c r="C66" t="s">
        <v>210</v>
      </c>
      <c r="D66">
        <f>0.93*D63</f>
        <v>13553.82</v>
      </c>
    </row>
    <row r="67" spans="3:4">
      <c r="C67" t="s">
        <v>211</v>
      </c>
      <c r="D67">
        <f>0.91*D64</f>
        <v>7464.8028000000004</v>
      </c>
    </row>
    <row r="68" spans="3:4">
      <c r="C68" t="s">
        <v>212</v>
      </c>
      <c r="D68">
        <f>SUM(D66:D67)-SUM(D63:D64)</f>
        <v>-1758.4571999999971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5A77-1959-4EAA-B46F-0EE6D7A2E335}">
  <dimension ref="D3:I10"/>
  <sheetViews>
    <sheetView workbookViewId="0">
      <selection activeCell="L32" sqref="L32"/>
    </sheetView>
  </sheetViews>
  <sheetFormatPr defaultRowHeight="15"/>
  <cols>
    <col min="4" max="4" width="10.7109375" customWidth="1"/>
    <col min="5" max="5" width="11.28515625" customWidth="1"/>
  </cols>
  <sheetData>
    <row r="3" spans="4:9">
      <c r="D3" t="s">
        <v>213</v>
      </c>
      <c r="E3" t="s">
        <v>214</v>
      </c>
      <c r="F3" t="s">
        <v>215</v>
      </c>
      <c r="G3" t="s">
        <v>25</v>
      </c>
      <c r="I3" t="s">
        <v>216</v>
      </c>
    </row>
    <row r="4" spans="4:9">
      <c r="D4" s="133">
        <v>10.94</v>
      </c>
      <c r="E4">
        <v>29.15</v>
      </c>
      <c r="F4">
        <v>16.940000000000001</v>
      </c>
      <c r="I4">
        <f>SUM(D10:F10)/G7</f>
        <v>18.938082741328877</v>
      </c>
    </row>
    <row r="6" spans="4:9">
      <c r="D6" t="s">
        <v>217</v>
      </c>
      <c r="E6" t="s">
        <v>218</v>
      </c>
      <c r="F6" t="s">
        <v>219</v>
      </c>
    </row>
    <row r="7" spans="4:9">
      <c r="D7">
        <v>871</v>
      </c>
      <c r="E7">
        <v>2386</v>
      </c>
      <c r="F7">
        <v>8708</v>
      </c>
      <c r="G7">
        <f>SUM(D7:F7)</f>
        <v>11965</v>
      </c>
    </row>
    <row r="9" spans="4:9">
      <c r="D9" t="s">
        <v>220</v>
      </c>
    </row>
    <row r="10" spans="4:9">
      <c r="D10">
        <f>D4*D7</f>
        <v>9528.74</v>
      </c>
      <c r="E10">
        <f>E4*E7</f>
        <v>69551.899999999994</v>
      </c>
      <c r="F10">
        <f>F4*F7</f>
        <v>147513.52000000002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5D1A-7DEE-481F-A6AD-B571D7085B41}">
  <dimension ref="B1:X74"/>
  <sheetViews>
    <sheetView topLeftCell="A13" workbookViewId="0">
      <selection activeCell="C39" sqref="C39"/>
    </sheetView>
  </sheetViews>
  <sheetFormatPr defaultRowHeight="15"/>
  <cols>
    <col min="2" max="2" width="14" customWidth="1"/>
    <col min="3" max="3" width="17.85546875" customWidth="1"/>
    <col min="4" max="4" width="21.5703125" customWidth="1"/>
    <col min="5" max="5" width="24" customWidth="1"/>
    <col min="6" max="6" width="13.140625" customWidth="1"/>
    <col min="8" max="8" width="10.5703125" customWidth="1"/>
    <col min="12" max="12" width="23.140625" customWidth="1"/>
    <col min="14" max="14" width="9.7109375" customWidth="1"/>
    <col min="15" max="15" width="19.5703125" customWidth="1"/>
    <col min="16" max="16" width="19.7109375" customWidth="1"/>
    <col min="22" max="22" width="13.7109375" customWidth="1"/>
    <col min="23" max="23" width="13.28515625" customWidth="1"/>
    <col min="24" max="24" width="13.85546875" customWidth="1"/>
  </cols>
  <sheetData>
    <row r="1" spans="2:24">
      <c r="L1" t="s">
        <v>221</v>
      </c>
      <c r="V1" t="s">
        <v>222</v>
      </c>
      <c r="W1" t="s">
        <v>223</v>
      </c>
      <c r="X1" t="s">
        <v>224</v>
      </c>
    </row>
    <row r="2" spans="2:24">
      <c r="B2" s="300" t="s">
        <v>225</v>
      </c>
      <c r="C2" s="301"/>
      <c r="D2" s="302"/>
      <c r="L2" t="s">
        <v>226</v>
      </c>
      <c r="M2">
        <f xml:space="preserve"> 1 / ( (P4/(P9)) *C37/C22 * C6  )</f>
        <v>-0.40568245950182907</v>
      </c>
      <c r="O2" s="303" t="s">
        <v>227</v>
      </c>
      <c r="P2" s="304"/>
      <c r="Q2" s="305"/>
      <c r="V2">
        <v>0</v>
      </c>
      <c r="W2">
        <f>$M$7*V2+$M$8</f>
        <v>7.8029312783158486E-2</v>
      </c>
      <c r="X2">
        <f>$M$2*W2+$M$3</f>
        <v>8.7281772096349505E-2</v>
      </c>
    </row>
    <row r="3" spans="2:24">
      <c r="B3" s="185" t="s">
        <v>228</v>
      </c>
      <c r="C3" s="186" t="s">
        <v>229</v>
      </c>
      <c r="D3" s="187" t="s">
        <v>1</v>
      </c>
      <c r="F3" s="183" t="s">
        <v>230</v>
      </c>
      <c r="L3" t="s">
        <v>231</v>
      </c>
      <c r="M3">
        <f xml:space="preserve"> (P5/(P9) - C4) / ( (P4/(P9)) *C37/C22 * C6  )</f>
        <v>0.11893689561945875</v>
      </c>
      <c r="O3" s="243" t="s">
        <v>228</v>
      </c>
      <c r="P3" s="244" t="s">
        <v>229</v>
      </c>
      <c r="Q3" s="245" t="s">
        <v>1</v>
      </c>
      <c r="V3">
        <v>0.1</v>
      </c>
      <c r="W3">
        <f t="shared" ref="W3:W12" si="0">$M$7*V3+$M$8</f>
        <v>0.12044195811445819</v>
      </c>
      <c r="X3">
        <f t="shared" ref="X3:X12" si="1">$M$2*W3+$M$3</f>
        <v>7.0075705824369061E-2</v>
      </c>
    </row>
    <row r="4" spans="2:24">
      <c r="B4" s="192" t="s">
        <v>232</v>
      </c>
      <c r="C4" s="193">
        <f>C17 - 1.8*C18*C19*C20/(C5*C21*C22) + 0.273*C18*C23*(C24-C18)*TAN(C26)/((1+C25)*C22^2*(C24+2.15*C18)) + 2*C27*C28^2*C29/(C21*C22*C5)</f>
        <v>0.23397652910740363</v>
      </c>
      <c r="D4" s="194" t="s">
        <v>233</v>
      </c>
      <c r="E4" t="s">
        <v>234</v>
      </c>
      <c r="F4" t="s">
        <v>235</v>
      </c>
      <c r="I4" t="s">
        <v>236</v>
      </c>
      <c r="O4" s="188" t="s">
        <v>237</v>
      </c>
      <c r="P4" s="184">
        <v>-1</v>
      </c>
      <c r="Q4" s="189"/>
      <c r="V4">
        <f>$V$3*2</f>
        <v>0.2</v>
      </c>
      <c r="W4">
        <f t="shared" si="0"/>
        <v>0.16285460344575792</v>
      </c>
      <c r="X4">
        <f t="shared" si="1"/>
        <v>5.2869639552388631E-2</v>
      </c>
    </row>
    <row r="5" spans="2:24">
      <c r="B5" s="188" t="s">
        <v>238</v>
      </c>
      <c r="C5" s="184">
        <f>C38*(1+2.15*C18/C24)*C35/C21+PI()*C18^2/(2*C21)</f>
        <v>7.0250560836662688</v>
      </c>
      <c r="D5" s="189" t="s">
        <v>239</v>
      </c>
      <c r="F5" t="s">
        <v>240</v>
      </c>
      <c r="I5" t="s">
        <v>236</v>
      </c>
      <c r="O5" s="188" t="s">
        <v>241</v>
      </c>
      <c r="P5" s="184">
        <v>-0.12</v>
      </c>
      <c r="Q5" s="189"/>
      <c r="V5">
        <f>$V$3*3</f>
        <v>0.30000000000000004</v>
      </c>
      <c r="W5">
        <f t="shared" si="0"/>
        <v>0.20526724877705765</v>
      </c>
      <c r="X5">
        <f t="shared" si="1"/>
        <v>3.5663573280408187E-2</v>
      </c>
    </row>
    <row r="6" spans="2:24">
      <c r="B6" s="188" t="s">
        <v>242</v>
      </c>
      <c r="C6" s="195">
        <v>1</v>
      </c>
      <c r="D6" s="189" t="s">
        <v>243</v>
      </c>
      <c r="F6" t="s">
        <v>244</v>
      </c>
      <c r="I6" t="s">
        <v>245</v>
      </c>
      <c r="L6" t="s">
        <v>246</v>
      </c>
      <c r="O6" s="188" t="s">
        <v>247</v>
      </c>
      <c r="P6" s="184">
        <f>10*PI()/180</f>
        <v>0.17453292519943295</v>
      </c>
      <c r="Q6" s="189" t="s">
        <v>248</v>
      </c>
      <c r="V6">
        <f>$V$3*4</f>
        <v>0.4</v>
      </c>
      <c r="W6">
        <f t="shared" si="0"/>
        <v>0.24767989410835733</v>
      </c>
      <c r="X6">
        <f t="shared" si="1"/>
        <v>1.8457507008427756E-2</v>
      </c>
    </row>
    <row r="7" spans="2:24">
      <c r="B7" s="188" t="s">
        <v>249</v>
      </c>
      <c r="C7" s="184">
        <f>(2*PI()*C30)/(2+SQRT(4+((C30*C34/C33)^2)*(1+(TAN(C31)^2)/(C34^2))))</f>
        <v>4.5133530997060545</v>
      </c>
      <c r="D7" s="189" t="s">
        <v>239</v>
      </c>
      <c r="F7" t="s">
        <v>250</v>
      </c>
      <c r="I7" t="s">
        <v>236</v>
      </c>
      <c r="L7" t="s">
        <v>226</v>
      </c>
      <c r="M7">
        <f>1 / (  ( C7/C5)* ( 1 - C8  ) *(C37/C22) * ( C6 )    )</f>
        <v>0.42412645331299709</v>
      </c>
      <c r="O7" s="188" t="s">
        <v>251</v>
      </c>
      <c r="P7" s="184">
        <f>C50*(1+2.15*C18/C24)*C35/C21+PI()*C18^2/(2*C21)</f>
        <v>5.4348252918498794</v>
      </c>
      <c r="Q7" s="189"/>
      <c r="V7">
        <f>$V$3*5</f>
        <v>0.5</v>
      </c>
      <c r="W7">
        <f t="shared" si="0"/>
        <v>0.29009253943965702</v>
      </c>
      <c r="X7">
        <f t="shared" si="1"/>
        <v>1.2514407364473401E-3</v>
      </c>
    </row>
    <row r="8" spans="2:24">
      <c r="B8" s="188" t="s">
        <v>252</v>
      </c>
      <c r="C8" s="184">
        <f>(C44/C45) * ((C41/(C41^2+C42^2))*(0.4876/(SQRT(C41^2+0.6319+C42^2))) + (1 + (C41^2/(C41^2+0.7915+5.0734*C42^2))^0.3113)*(1 - SQRT(C42^2/(1+C42^2)))) * C38/(PI()*C39)</f>
        <v>0.26550709480320478</v>
      </c>
      <c r="D8" s="189" t="s">
        <v>243</v>
      </c>
      <c r="E8" t="s">
        <v>253</v>
      </c>
      <c r="F8" t="s">
        <v>254</v>
      </c>
      <c r="I8" t="s">
        <v>236</v>
      </c>
      <c r="L8" t="s">
        <v>231</v>
      </c>
      <c r="M8">
        <f xml:space="preserve"> (  C4 - C9  ) / (  ( C7/C5)* ( 1 - C8  ) *(C37/C22) * ( C6 )    )</f>
        <v>7.8029312783158486E-2</v>
      </c>
      <c r="O8" s="188" t="s">
        <v>255</v>
      </c>
      <c r="P8" s="184">
        <f>C50</f>
        <v>4.5272183841447031</v>
      </c>
      <c r="Q8" s="189"/>
      <c r="V8">
        <f>$V$3*6</f>
        <v>0.60000000000000009</v>
      </c>
      <c r="W8">
        <f t="shared" si="0"/>
        <v>0.33250518477095681</v>
      </c>
      <c r="X8">
        <f t="shared" si="1"/>
        <v>-1.5954625535533118E-2</v>
      </c>
    </row>
    <row r="9" spans="2:24">
      <c r="B9" s="190" t="s">
        <v>256</v>
      </c>
      <c r="C9" s="196">
        <v>0.05</v>
      </c>
      <c r="D9" s="191" t="s">
        <v>243</v>
      </c>
      <c r="F9" t="s">
        <v>257</v>
      </c>
      <c r="I9" t="s">
        <v>245</v>
      </c>
      <c r="O9" s="190" t="s">
        <v>258</v>
      </c>
      <c r="P9" s="238">
        <v>2.0270000000000001</v>
      </c>
      <c r="Q9" s="191"/>
      <c r="V9">
        <f>$V$3*7</f>
        <v>0.70000000000000007</v>
      </c>
      <c r="W9">
        <f t="shared" si="0"/>
        <v>0.37491783010225649</v>
      </c>
      <c r="X9">
        <f t="shared" si="1"/>
        <v>-3.3160691807513548E-2</v>
      </c>
    </row>
    <row r="10" spans="2:24">
      <c r="B10" t="s">
        <v>237</v>
      </c>
      <c r="C10">
        <v>-1</v>
      </c>
      <c r="F10" t="s">
        <v>259</v>
      </c>
      <c r="I10" t="s">
        <v>260</v>
      </c>
      <c r="P10">
        <v>2.1179999999999999</v>
      </c>
      <c r="V10">
        <f>$V$3*8</f>
        <v>0.8</v>
      </c>
      <c r="W10">
        <f t="shared" si="0"/>
        <v>0.41733047543355617</v>
      </c>
      <c r="X10">
        <f t="shared" si="1"/>
        <v>-5.0366758079493978E-2</v>
      </c>
    </row>
    <row r="11" spans="2:24">
      <c r="B11" t="s">
        <v>241</v>
      </c>
      <c r="C11">
        <v>-0.12</v>
      </c>
      <c r="F11" t="s">
        <v>261</v>
      </c>
      <c r="I11" t="s">
        <v>260</v>
      </c>
      <c r="P11">
        <v>2.4</v>
      </c>
      <c r="V11">
        <f>$V$3*9</f>
        <v>0.9</v>
      </c>
      <c r="W11">
        <f t="shared" si="0"/>
        <v>0.45974312076485591</v>
      </c>
      <c r="X11">
        <f t="shared" si="1"/>
        <v>-6.7572824351474409E-2</v>
      </c>
    </row>
    <row r="12" spans="2:24">
      <c r="B12" t="s">
        <v>247</v>
      </c>
      <c r="C12">
        <f>10*PI()/180</f>
        <v>0.17453292519943295</v>
      </c>
      <c r="D12" t="s">
        <v>248</v>
      </c>
      <c r="F12" t="s">
        <v>262</v>
      </c>
      <c r="V12">
        <v>1</v>
      </c>
      <c r="W12">
        <f t="shared" si="0"/>
        <v>0.50215576609615553</v>
      </c>
      <c r="X12">
        <f t="shared" si="1"/>
        <v>-8.4778890623454811E-2</v>
      </c>
    </row>
    <row r="15" spans="2:24">
      <c r="B15" s="300" t="s">
        <v>263</v>
      </c>
      <c r="C15" s="301"/>
      <c r="D15" s="302"/>
    </row>
    <row r="16" spans="2:24">
      <c r="B16" s="206" t="s">
        <v>228</v>
      </c>
      <c r="C16" s="207" t="s">
        <v>229</v>
      </c>
      <c r="D16" s="208" t="s">
        <v>1</v>
      </c>
      <c r="F16" t="s">
        <v>230</v>
      </c>
    </row>
    <row r="17" spans="2:9">
      <c r="B17" s="209" t="s">
        <v>264</v>
      </c>
      <c r="C17" s="212">
        <v>0.35</v>
      </c>
      <c r="D17" s="210" t="s">
        <v>233</v>
      </c>
      <c r="F17" t="s">
        <v>265</v>
      </c>
      <c r="I17" t="s">
        <v>266</v>
      </c>
    </row>
    <row r="18" spans="2:9">
      <c r="B18" s="188" t="s">
        <v>267</v>
      </c>
      <c r="C18" s="233">
        <v>2.6949999999999998</v>
      </c>
      <c r="D18" s="189" t="s">
        <v>268</v>
      </c>
      <c r="F18" t="s">
        <v>269</v>
      </c>
      <c r="I18" t="s">
        <v>270</v>
      </c>
    </row>
    <row r="19" spans="2:9">
      <c r="B19" s="188" t="s">
        <v>271</v>
      </c>
      <c r="C19" s="229">
        <v>2.6949999999999998</v>
      </c>
      <c r="D19" s="189" t="s">
        <v>268</v>
      </c>
      <c r="E19" s="167"/>
      <c r="F19" t="s">
        <v>272</v>
      </c>
      <c r="I19" t="s">
        <v>273</v>
      </c>
    </row>
    <row r="20" spans="2:9">
      <c r="B20" s="188" t="s">
        <v>274</v>
      </c>
      <c r="C20" s="230">
        <v>36.466000000000001</v>
      </c>
      <c r="D20" s="189" t="s">
        <v>268</v>
      </c>
      <c r="F20" t="s">
        <v>4</v>
      </c>
      <c r="I20" t="s">
        <v>275</v>
      </c>
    </row>
    <row r="21" spans="2:9">
      <c r="B21" s="188" t="s">
        <v>276</v>
      </c>
      <c r="C21" s="230">
        <f>(E60+E59)*C24/2</f>
        <v>80.845928788146011</v>
      </c>
      <c r="D21" s="189" t="s">
        <v>277</v>
      </c>
      <c r="F21" t="s">
        <v>278</v>
      </c>
      <c r="I21" t="s">
        <v>270</v>
      </c>
    </row>
    <row r="22" spans="2:9">
      <c r="B22" s="188" t="s">
        <v>279</v>
      </c>
      <c r="C22" s="229">
        <f>E61</f>
        <v>3.3863372696100003</v>
      </c>
      <c r="D22" s="189" t="s">
        <v>268</v>
      </c>
      <c r="F22" t="s">
        <v>280</v>
      </c>
      <c r="I22" t="s">
        <v>281</v>
      </c>
    </row>
    <row r="23" spans="2:9">
      <c r="B23" s="188" t="s">
        <v>282</v>
      </c>
      <c r="C23" s="229">
        <f>C21/C24</f>
        <v>3.0886696767200004</v>
      </c>
      <c r="D23" s="189" t="s">
        <v>268</v>
      </c>
      <c r="F23" t="s">
        <v>283</v>
      </c>
      <c r="I23" t="s">
        <v>270</v>
      </c>
    </row>
    <row r="24" spans="2:9">
      <c r="B24" s="188" t="s">
        <v>284</v>
      </c>
      <c r="C24" s="230">
        <v>26.175000000000001</v>
      </c>
      <c r="D24" s="189" t="s">
        <v>268</v>
      </c>
      <c r="F24" t="s">
        <v>285</v>
      </c>
      <c r="I24" t="s">
        <v>270</v>
      </c>
    </row>
    <row r="25" spans="2:9">
      <c r="B25" s="188" t="s">
        <v>286</v>
      </c>
      <c r="C25" s="229">
        <f>E59/E60</f>
        <v>0.27960927960927962</v>
      </c>
      <c r="D25" s="189" t="s">
        <v>243</v>
      </c>
      <c r="F25" t="s">
        <v>287</v>
      </c>
      <c r="I25" t="s">
        <v>236</v>
      </c>
    </row>
    <row r="26" spans="2:9">
      <c r="B26" s="188" t="s">
        <v>288</v>
      </c>
      <c r="C26" s="229">
        <f>ATAN(TAN(RADIANS(D62))-4*0.25*(1-C25)/(C39*(1+C25)))</f>
        <v>0.46939192967954035</v>
      </c>
      <c r="D26" s="189" t="s">
        <v>289</v>
      </c>
      <c r="F26" t="s">
        <v>290</v>
      </c>
      <c r="I26" t="s">
        <v>236</v>
      </c>
    </row>
    <row r="27" spans="2:9">
      <c r="B27" s="188" t="s">
        <v>291</v>
      </c>
      <c r="C27" s="231">
        <v>-2.5</v>
      </c>
      <c r="D27" s="189" t="s">
        <v>243</v>
      </c>
      <c r="F27" t="s">
        <v>292</v>
      </c>
      <c r="I27" t="s">
        <v>245</v>
      </c>
    </row>
    <row r="28" spans="2:9">
      <c r="B28" s="188" t="s">
        <v>293</v>
      </c>
      <c r="C28" s="229">
        <v>1.55</v>
      </c>
      <c r="D28" s="189" t="s">
        <v>268</v>
      </c>
      <c r="F28" t="s">
        <v>294</v>
      </c>
      <c r="I28" t="s">
        <v>295</v>
      </c>
    </row>
    <row r="29" spans="2:9">
      <c r="B29" s="188" t="s">
        <v>296</v>
      </c>
      <c r="C29" s="230">
        <f>E64</f>
        <v>-11.87428447281</v>
      </c>
      <c r="D29" s="189" t="s">
        <v>268</v>
      </c>
      <c r="E29" s="234" t="s">
        <v>297</v>
      </c>
      <c r="F29" t="s">
        <v>298</v>
      </c>
      <c r="I29" t="s">
        <v>299</v>
      </c>
    </row>
    <row r="30" spans="2:9">
      <c r="B30" s="188" t="s">
        <v>300</v>
      </c>
      <c r="C30" s="229">
        <f>((8.541)^2)/(15.91)</f>
        <v>4.5850836580766821</v>
      </c>
      <c r="D30" s="189" t="s">
        <v>243</v>
      </c>
      <c r="F30" t="s">
        <v>301</v>
      </c>
      <c r="I30" t="s">
        <v>302</v>
      </c>
    </row>
    <row r="31" spans="2:9">
      <c r="B31" s="188" t="s">
        <v>303</v>
      </c>
      <c r="C31" s="229">
        <f>ATAN(TAN(RADIANS(D66))-4*0.5*(1-C43)/(C30*(1+C43)))</f>
        <v>0.47262444883040128</v>
      </c>
      <c r="D31" s="189" t="s">
        <v>289</v>
      </c>
      <c r="F31" t="s">
        <v>304</v>
      </c>
      <c r="I31" t="s">
        <v>236</v>
      </c>
    </row>
    <row r="32" spans="2:9">
      <c r="B32" s="188" t="s">
        <v>305</v>
      </c>
      <c r="C32" s="229">
        <v>0.78</v>
      </c>
      <c r="D32" s="189" t="s">
        <v>243</v>
      </c>
      <c r="F32" t="s">
        <v>306</v>
      </c>
      <c r="I32" t="s">
        <v>307</v>
      </c>
    </row>
    <row r="33" spans="2:11">
      <c r="B33" s="188" t="s">
        <v>308</v>
      </c>
      <c r="C33" s="232">
        <v>0.95</v>
      </c>
      <c r="D33" s="189" t="s">
        <v>309</v>
      </c>
      <c r="F33" t="s">
        <v>310</v>
      </c>
      <c r="I33" t="s">
        <v>311</v>
      </c>
    </row>
    <row r="34" spans="2:11">
      <c r="B34" s="188" t="s">
        <v>312</v>
      </c>
      <c r="C34" s="229">
        <f>SQRT(1-(C32^2))</f>
        <v>0.62577951388648057</v>
      </c>
      <c r="D34" s="189" t="s">
        <v>309</v>
      </c>
      <c r="I34" t="s">
        <v>236</v>
      </c>
    </row>
    <row r="35" spans="2:11">
      <c r="B35" s="188" t="s">
        <v>313</v>
      </c>
      <c r="C35" s="197">
        <v>77.400000000000006</v>
      </c>
      <c r="D35" s="189" t="s">
        <v>277</v>
      </c>
      <c r="F35" t="s">
        <v>314</v>
      </c>
      <c r="I35" t="s">
        <v>307</v>
      </c>
    </row>
    <row r="36" spans="2:11">
      <c r="B36" s="188" t="s">
        <v>315</v>
      </c>
      <c r="C36" s="197">
        <v>21.5</v>
      </c>
      <c r="D36" s="189" t="s">
        <v>277</v>
      </c>
      <c r="I36" t="s">
        <v>307</v>
      </c>
    </row>
    <row r="37" spans="2:11">
      <c r="B37" s="188" t="s">
        <v>316</v>
      </c>
      <c r="C37" s="230">
        <f>E65</f>
        <v>16.919897532490001</v>
      </c>
      <c r="D37" s="189" t="s">
        <v>268</v>
      </c>
      <c r="I37" t="s">
        <v>317</v>
      </c>
      <c r="K37" t="s">
        <v>318</v>
      </c>
    </row>
    <row r="38" spans="2:11">
      <c r="B38" s="188" t="s">
        <v>319</v>
      </c>
      <c r="C38" s="229">
        <f>(2*PI()*C39)/(2+SQRT(4+((C39*C34/C33)^2)*(1+(TAN(C40)^2)/(C34^2))))</f>
        <v>5.8871954826506006</v>
      </c>
      <c r="D38" s="189" t="s">
        <v>239</v>
      </c>
      <c r="I38" t="s">
        <v>236</v>
      </c>
    </row>
    <row r="39" spans="2:11">
      <c r="B39" s="188" t="s">
        <v>320</v>
      </c>
      <c r="C39" s="229">
        <f>C24^2/C21</f>
        <v>8.4745222829384694</v>
      </c>
      <c r="D39" s="189" t="s">
        <v>309</v>
      </c>
      <c r="I39" t="s">
        <v>236</v>
      </c>
    </row>
    <row r="40" spans="2:11">
      <c r="B40" s="188" t="s">
        <v>321</v>
      </c>
      <c r="C40" s="229">
        <f>RADIANS(D63)</f>
        <v>0.40299652428549076</v>
      </c>
      <c r="D40" s="189" t="s">
        <v>289</v>
      </c>
      <c r="I40" t="s">
        <v>317</v>
      </c>
    </row>
    <row r="41" spans="2:11">
      <c r="B41" s="188" t="s">
        <v>322</v>
      </c>
      <c r="C41" s="229">
        <f>E65/(C24/2)</f>
        <v>1.2928288467996181</v>
      </c>
      <c r="D41" s="189" t="s">
        <v>309</v>
      </c>
      <c r="I41" t="s">
        <v>236</v>
      </c>
    </row>
    <row r="42" spans="2:11">
      <c r="B42" s="188" t="s">
        <v>323</v>
      </c>
      <c r="C42" s="229">
        <f>E70/(C24/2)</f>
        <v>0.51253761632397332</v>
      </c>
      <c r="D42" s="189" t="s">
        <v>309</v>
      </c>
      <c r="I42" t="s">
        <v>236</v>
      </c>
    </row>
    <row r="43" spans="2:11">
      <c r="B43" s="188" t="s">
        <v>324</v>
      </c>
      <c r="C43" s="229">
        <f>E69/E68</f>
        <v>0.4696449026345933</v>
      </c>
      <c r="D43" s="189" t="s">
        <v>309</v>
      </c>
      <c r="I43" t="s">
        <v>236</v>
      </c>
    </row>
    <row r="44" spans="2:11">
      <c r="B44" s="188" t="s">
        <v>325</v>
      </c>
      <c r="C44" s="229">
        <f>(0.1124+0.1265*C26+0.1766*C26^2)/(C41^2) + 0.1024/C41 + 2</f>
        <v>2.2052605581999276</v>
      </c>
      <c r="D44" s="189" t="s">
        <v>309</v>
      </c>
      <c r="I44" t="s">
        <v>236</v>
      </c>
    </row>
    <row r="45" spans="2:11">
      <c r="B45" s="239" t="s">
        <v>326</v>
      </c>
      <c r="C45" s="240">
        <f>0.1124/(C41^2) + 0.1024/C41 + 2</f>
        <v>2.1464549076399546</v>
      </c>
      <c r="D45" s="241" t="s">
        <v>309</v>
      </c>
      <c r="I45" t="s">
        <v>236</v>
      </c>
    </row>
    <row r="46" spans="2:11">
      <c r="B46" s="209" t="s">
        <v>327</v>
      </c>
      <c r="C46" s="242">
        <v>124</v>
      </c>
      <c r="D46" s="210" t="s">
        <v>328</v>
      </c>
    </row>
    <row r="47" spans="2:11">
      <c r="B47" s="188" t="s">
        <v>327</v>
      </c>
      <c r="C47" s="184">
        <f>C46*0.51444</f>
        <v>63.790559999999999</v>
      </c>
      <c r="D47" s="189" t="s">
        <v>329</v>
      </c>
    </row>
    <row r="48" spans="2:11">
      <c r="B48" s="188" t="s">
        <v>330</v>
      </c>
      <c r="C48" s="184">
        <f>C47/343</f>
        <v>0.18597830903790089</v>
      </c>
      <c r="D48" s="189" t="s">
        <v>331</v>
      </c>
    </row>
    <row r="49" spans="2:6">
      <c r="B49" s="188" t="s">
        <v>332</v>
      </c>
      <c r="C49" s="184">
        <f>SQRT(1-(C48^2))</f>
        <v>0.98255385021249753</v>
      </c>
      <c r="D49" s="189"/>
    </row>
    <row r="50" spans="2:6">
      <c r="B50" s="190" t="s">
        <v>255</v>
      </c>
      <c r="C50" s="238">
        <f>(2*PI()*C39)/(2+SQRT(4+((C39*C49/C33)^2)*(1+(TAN(C40)^2)/(C49^2))))</f>
        <v>4.5272183841447031</v>
      </c>
      <c r="D50" s="191"/>
    </row>
    <row r="52" spans="2:6">
      <c r="B52" s="184" t="s">
        <v>333</v>
      </c>
      <c r="D52" t="s">
        <v>334</v>
      </c>
      <c r="F52">
        <v>0.29472038900000003</v>
      </c>
    </row>
    <row r="53" spans="2:6">
      <c r="B53" s="198" t="s">
        <v>335</v>
      </c>
    </row>
    <row r="54" spans="2:6">
      <c r="B54" s="199" t="s">
        <v>336</v>
      </c>
    </row>
    <row r="55" spans="2:6">
      <c r="B55" s="220" t="s">
        <v>337</v>
      </c>
    </row>
    <row r="58" spans="2:6">
      <c r="B58" s="235" t="s">
        <v>228</v>
      </c>
      <c r="C58" s="236" t="s">
        <v>338</v>
      </c>
      <c r="D58" s="236" t="s">
        <v>339</v>
      </c>
      <c r="E58" s="237" t="s">
        <v>340</v>
      </c>
    </row>
    <row r="59" spans="2:6">
      <c r="B59" s="192" t="s">
        <v>341</v>
      </c>
      <c r="C59" s="193">
        <v>4.58</v>
      </c>
      <c r="D59" s="193"/>
      <c r="E59" s="194">
        <f>C59*F$52</f>
        <v>1.3498193816200001</v>
      </c>
    </row>
    <row r="60" spans="2:6">
      <c r="B60" s="188" t="s">
        <v>342</v>
      </c>
      <c r="C60" s="184">
        <v>16.38</v>
      </c>
      <c r="D60" s="184"/>
      <c r="E60" s="189">
        <f>C60*F$52</f>
        <v>4.8275199718200001</v>
      </c>
    </row>
    <row r="61" spans="2:6">
      <c r="B61" s="188" t="s">
        <v>343</v>
      </c>
      <c r="C61" s="184">
        <v>11.49</v>
      </c>
      <c r="D61" s="184"/>
      <c r="E61" s="189">
        <f>C61*F$52</f>
        <v>3.3863372696100003</v>
      </c>
    </row>
    <row r="62" spans="2:6">
      <c r="B62" s="188" t="s">
        <v>344</v>
      </c>
      <c r="C62" s="184"/>
      <c r="D62" s="184">
        <f>90-60.16</f>
        <v>29.840000000000003</v>
      </c>
      <c r="E62" s="189"/>
    </row>
    <row r="63" spans="2:6">
      <c r="B63" s="188" t="s">
        <v>321</v>
      </c>
      <c r="C63" s="184"/>
      <c r="D63" s="184">
        <f>90-66.91</f>
        <v>23.090000000000003</v>
      </c>
      <c r="E63" s="189"/>
    </row>
    <row r="64" spans="2:6">
      <c r="B64" s="188" t="s">
        <v>296</v>
      </c>
      <c r="C64" s="184">
        <v>-40.29</v>
      </c>
      <c r="D64" s="184"/>
      <c r="E64" s="189">
        <f>C64*F$52</f>
        <v>-11.87428447281</v>
      </c>
    </row>
    <row r="65" spans="2:14">
      <c r="B65" s="188" t="s">
        <v>316</v>
      </c>
      <c r="C65" s="184">
        <v>57.41</v>
      </c>
      <c r="D65" s="184"/>
      <c r="E65" s="189">
        <f>C65*F$52</f>
        <v>16.919897532490001</v>
      </c>
    </row>
    <row r="66" spans="2:14">
      <c r="B66" s="188" t="s">
        <v>345</v>
      </c>
      <c r="C66" s="184"/>
      <c r="D66" s="184">
        <f>90-56.23</f>
        <v>33.770000000000003</v>
      </c>
      <c r="E66" s="189"/>
    </row>
    <row r="67" spans="2:14">
      <c r="B67" s="188" t="s">
        <v>303</v>
      </c>
      <c r="C67" s="184"/>
      <c r="D67" s="184"/>
      <c r="E67" s="189"/>
    </row>
    <row r="68" spans="2:14">
      <c r="B68" s="188" t="s">
        <v>346</v>
      </c>
      <c r="C68" s="184">
        <v>8.73</v>
      </c>
      <c r="D68" s="184"/>
      <c r="E68" s="189">
        <f>C68*F$52</f>
        <v>2.5729089959700002</v>
      </c>
    </row>
    <row r="69" spans="2:14">
      <c r="B69" s="188" t="s">
        <v>347</v>
      </c>
      <c r="C69" s="184">
        <v>4.0999999999999996</v>
      </c>
      <c r="D69" s="184"/>
      <c r="E69" s="189">
        <f>C69*F$52</f>
        <v>1.2083535948999999</v>
      </c>
    </row>
    <row r="70" spans="2:14">
      <c r="B70" s="188" t="s">
        <v>348</v>
      </c>
      <c r="C70" s="184">
        <v>22.76</v>
      </c>
      <c r="D70" s="184"/>
      <c r="E70" s="189">
        <f>C70*F$52</f>
        <v>6.7078360536400012</v>
      </c>
    </row>
    <row r="71" spans="2:14">
      <c r="B71" s="188" t="s">
        <v>349</v>
      </c>
      <c r="C71" s="184">
        <v>11.38</v>
      </c>
      <c r="D71" s="184"/>
      <c r="E71" s="189">
        <f>C71*F$52</f>
        <v>3.3539180268200006</v>
      </c>
    </row>
    <row r="72" spans="2:14">
      <c r="B72" s="188"/>
      <c r="C72" s="184"/>
      <c r="D72" s="184"/>
      <c r="E72" s="189"/>
    </row>
    <row r="73" spans="2:14">
      <c r="B73" s="190" t="s">
        <v>350</v>
      </c>
      <c r="C73" s="238">
        <v>57.19</v>
      </c>
      <c r="D73" s="238"/>
      <c r="E73" s="191">
        <f t="shared" ref="E73" si="2">C73*F$52</f>
        <v>16.85505904691</v>
      </c>
    </row>
    <row r="74" spans="2:14" ht="15.75">
      <c r="N74" s="211"/>
    </row>
  </sheetData>
  <mergeCells count="3">
    <mergeCell ref="B2:D2"/>
    <mergeCell ref="O2:Q2"/>
    <mergeCell ref="B15:D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EE1D-12CF-48BF-8802-C9293ADE96A9}">
  <dimension ref="B2:T91"/>
  <sheetViews>
    <sheetView workbookViewId="0">
      <selection activeCell="H76" sqref="H76"/>
    </sheetView>
  </sheetViews>
  <sheetFormatPr defaultRowHeight="15"/>
  <cols>
    <col min="2" max="2" width="14" customWidth="1"/>
    <col min="3" max="3" width="17.85546875" customWidth="1"/>
    <col min="4" max="4" width="21.5703125" customWidth="1"/>
    <col min="5" max="5" width="24" customWidth="1"/>
    <col min="6" max="6" width="13.140625" customWidth="1"/>
    <col min="8" max="8" width="10.5703125" customWidth="1"/>
    <col min="12" max="12" width="23.140625" customWidth="1"/>
    <col min="14" max="14" width="9.7109375" customWidth="1"/>
    <col min="15" max="15" width="19.5703125" customWidth="1"/>
    <col min="16" max="16" width="19.7109375" customWidth="1"/>
    <col min="22" max="22" width="13.7109375" customWidth="1"/>
    <col min="23" max="23" width="13.28515625" customWidth="1"/>
    <col min="24" max="24" width="13.85546875" customWidth="1"/>
  </cols>
  <sheetData>
    <row r="2" spans="2:17">
      <c r="B2" s="300" t="s">
        <v>225</v>
      </c>
      <c r="C2" s="301"/>
      <c r="D2" s="302"/>
      <c r="L2" s="306" t="s">
        <v>351</v>
      </c>
      <c r="M2" s="307"/>
      <c r="O2" s="303" t="s">
        <v>227</v>
      </c>
      <c r="P2" s="304"/>
      <c r="Q2" s="305"/>
    </row>
    <row r="3" spans="2:17">
      <c r="B3" s="185" t="s">
        <v>228</v>
      </c>
      <c r="C3" s="186" t="s">
        <v>229</v>
      </c>
      <c r="D3" s="187" t="s">
        <v>1</v>
      </c>
      <c r="F3" s="183" t="s">
        <v>230</v>
      </c>
      <c r="L3" s="192" t="s">
        <v>226</v>
      </c>
      <c r="M3" s="194">
        <f xml:space="preserve"> 1 / ( (P4/(P9)) *C37/C22 * C6  )</f>
        <v>-0.48681895140219472</v>
      </c>
      <c r="O3" s="243" t="s">
        <v>228</v>
      </c>
      <c r="P3" s="244" t="s">
        <v>229</v>
      </c>
      <c r="Q3" s="245" t="s">
        <v>1</v>
      </c>
    </row>
    <row r="4" spans="2:17">
      <c r="B4" s="192" t="s">
        <v>232</v>
      </c>
      <c r="C4" s="193">
        <f>C17 - 1.8*C18*C19*C20/(C5*C21*C22) + 0.273*C18*C23*(C24-C18)*TAN(C26)/((1+C25)*C22^2*(C24+2.15*C18)) + 2*C27*C28^2*C29/(C21*C22*C5)</f>
        <v>0.28152096681529992</v>
      </c>
      <c r="D4" s="194" t="s">
        <v>233</v>
      </c>
      <c r="E4" t="s">
        <v>234</v>
      </c>
      <c r="F4" t="s">
        <v>235</v>
      </c>
      <c r="I4" t="s">
        <v>236</v>
      </c>
      <c r="L4" s="190" t="s">
        <v>231</v>
      </c>
      <c r="M4" s="191">
        <f xml:space="preserve"> (P5/(P9) - C4) / ( (P4/(P9)) *C37/C22 * C6  )</f>
        <v>0.22659907074901461</v>
      </c>
      <c r="O4" s="188" t="s">
        <v>237</v>
      </c>
      <c r="P4" s="184">
        <v>-1</v>
      </c>
      <c r="Q4" s="189"/>
    </row>
    <row r="5" spans="2:17">
      <c r="B5" s="188" t="s">
        <v>238</v>
      </c>
      <c r="C5" s="184">
        <f>C38*(1+2.15*C18/C24)*C35/C21+PI()*C18^2/(2*C21)</f>
        <v>7.4304071589294587</v>
      </c>
      <c r="D5" s="189" t="s">
        <v>239</v>
      </c>
      <c r="F5" t="s">
        <v>240</v>
      </c>
      <c r="I5" t="s">
        <v>236</v>
      </c>
      <c r="O5" s="188" t="s">
        <v>241</v>
      </c>
      <c r="P5" s="184">
        <f>C64</f>
        <v>-0.44743489742037301</v>
      </c>
      <c r="Q5" s="189"/>
    </row>
    <row r="6" spans="2:17">
      <c r="B6" s="188" t="s">
        <v>242</v>
      </c>
      <c r="C6" s="195">
        <v>1</v>
      </c>
      <c r="D6" s="189" t="s">
        <v>243</v>
      </c>
      <c r="F6" t="s">
        <v>244</v>
      </c>
      <c r="I6" t="s">
        <v>245</v>
      </c>
      <c r="O6" s="188" t="s">
        <v>247</v>
      </c>
      <c r="P6" s="184">
        <f>10*PI()/180</f>
        <v>0.17453292519943295</v>
      </c>
      <c r="Q6" s="189" t="s">
        <v>248</v>
      </c>
    </row>
    <row r="7" spans="2:17">
      <c r="B7" s="188" t="s">
        <v>249</v>
      </c>
      <c r="C7" s="184">
        <f>(2*PI()*C30)/(2+SQRT(4+((C30*C34/C33)^2)*(1+(TAN(C31)^2)/(C34^2))))</f>
        <v>4.5133530997060545</v>
      </c>
      <c r="D7" s="189" t="s">
        <v>239</v>
      </c>
      <c r="F7" t="s">
        <v>250</v>
      </c>
      <c r="I7" t="s">
        <v>236</v>
      </c>
      <c r="L7" s="306" t="s">
        <v>352</v>
      </c>
      <c r="M7" s="307"/>
      <c r="O7" s="188" t="s">
        <v>251</v>
      </c>
      <c r="P7" s="184">
        <f>C50*(1+2.15*C18/C24)*C35/C21+PI()*C18^2/(2*C21)</f>
        <v>5.6571447946660793</v>
      </c>
      <c r="Q7" s="189"/>
    </row>
    <row r="8" spans="2:17">
      <c r="B8" s="188" t="s">
        <v>252</v>
      </c>
      <c r="C8" s="184">
        <f>(C44/C45) * ((C41/(C41^2+C42^2))*(0.4876/(SQRT(C41^2+0.6319+C42^2))) + (1 + (C41^2/(C41^2+0.7915+5.0734*C42^2))^0.3113)*(1 - SQRT(C42^2/(1+C42^2)))) * C38/(PI()*C39)</f>
        <v>0.22510154538265537</v>
      </c>
      <c r="D8" s="189" t="s">
        <v>243</v>
      </c>
      <c r="E8" t="s">
        <v>253</v>
      </c>
      <c r="F8" t="s">
        <v>254</v>
      </c>
      <c r="I8" t="s">
        <v>236</v>
      </c>
      <c r="L8" s="192" t="s">
        <v>226</v>
      </c>
      <c r="M8" s="194">
        <f>1 / (  ( C7/C5)* ( 1 - C8  ) *(C37/C22) * ( C6 )    )</f>
        <v>0.4252075698594821</v>
      </c>
      <c r="O8" s="188" t="s">
        <v>255</v>
      </c>
      <c r="P8" s="184">
        <f>C50</f>
        <v>4.7173476621949044</v>
      </c>
      <c r="Q8" s="189"/>
    </row>
    <row r="9" spans="2:17">
      <c r="B9" s="190" t="s">
        <v>256</v>
      </c>
      <c r="C9" s="196">
        <v>0</v>
      </c>
      <c r="D9" s="191" t="s">
        <v>243</v>
      </c>
      <c r="F9" t="s">
        <v>257</v>
      </c>
      <c r="I9" t="s">
        <v>245</v>
      </c>
      <c r="L9" s="190" t="s">
        <v>231</v>
      </c>
      <c r="M9" s="191">
        <f xml:space="preserve"> (  C4 - C9  ) / (  ( C7/C5)* ( 1 - C8  ) *(C37/C22) * ( C6 )    )</f>
        <v>0.11970484616402557</v>
      </c>
      <c r="O9" s="190" t="s">
        <v>258</v>
      </c>
      <c r="P9" s="238">
        <f>2.027*1.2</f>
        <v>2.4323999999999999</v>
      </c>
      <c r="Q9" s="191"/>
    </row>
    <row r="10" spans="2:17">
      <c r="B10" t="s">
        <v>237</v>
      </c>
      <c r="C10">
        <v>-1</v>
      </c>
      <c r="F10" t="s">
        <v>259</v>
      </c>
      <c r="I10" t="s">
        <v>260</v>
      </c>
    </row>
    <row r="11" spans="2:17">
      <c r="B11" t="s">
        <v>241</v>
      </c>
      <c r="C11">
        <v>-0.12</v>
      </c>
      <c r="F11" t="s">
        <v>261</v>
      </c>
      <c r="I11" t="s">
        <v>260</v>
      </c>
    </row>
    <row r="12" spans="2:17">
      <c r="B12" t="s">
        <v>247</v>
      </c>
      <c r="C12">
        <f>10*PI()/180</f>
        <v>0.17453292519943295</v>
      </c>
      <c r="D12" t="s">
        <v>248</v>
      </c>
      <c r="F12" t="s">
        <v>262</v>
      </c>
    </row>
    <row r="15" spans="2:17">
      <c r="B15" s="300" t="s">
        <v>263</v>
      </c>
      <c r="C15" s="301"/>
      <c r="D15" s="302"/>
    </row>
    <row r="16" spans="2:17">
      <c r="B16" s="206" t="s">
        <v>228</v>
      </c>
      <c r="C16" s="207" t="s">
        <v>229</v>
      </c>
      <c r="D16" s="208" t="s">
        <v>1</v>
      </c>
      <c r="F16" t="s">
        <v>230</v>
      </c>
    </row>
    <row r="17" spans="2:20">
      <c r="B17" s="209" t="s">
        <v>264</v>
      </c>
      <c r="C17" s="212">
        <v>0.35</v>
      </c>
      <c r="D17" s="210" t="s">
        <v>233</v>
      </c>
      <c r="F17" t="s">
        <v>265</v>
      </c>
      <c r="I17" t="s">
        <v>266</v>
      </c>
      <c r="T17" t="s">
        <v>353</v>
      </c>
    </row>
    <row r="18" spans="2:20">
      <c r="B18" s="188" t="s">
        <v>267</v>
      </c>
      <c r="C18" s="233">
        <v>2.6949999999999998</v>
      </c>
      <c r="D18" s="189" t="s">
        <v>268</v>
      </c>
      <c r="F18" t="s">
        <v>269</v>
      </c>
      <c r="I18" t="s">
        <v>270</v>
      </c>
      <c r="T18" t="s">
        <v>354</v>
      </c>
    </row>
    <row r="19" spans="2:20">
      <c r="B19" s="188" t="s">
        <v>271</v>
      </c>
      <c r="C19" s="229">
        <v>2.6949999999999998</v>
      </c>
      <c r="D19" s="189" t="s">
        <v>268</v>
      </c>
      <c r="E19" s="167"/>
      <c r="F19" t="s">
        <v>272</v>
      </c>
      <c r="I19" t="s">
        <v>273</v>
      </c>
      <c r="T19" t="s">
        <v>355</v>
      </c>
    </row>
    <row r="20" spans="2:20">
      <c r="B20" s="188" t="s">
        <v>274</v>
      </c>
      <c r="C20" s="230">
        <v>36.466000000000001</v>
      </c>
      <c r="D20" s="189" t="s">
        <v>268</v>
      </c>
      <c r="F20" t="s">
        <v>4</v>
      </c>
      <c r="I20" t="s">
        <v>275</v>
      </c>
      <c r="T20" t="s">
        <v>356</v>
      </c>
    </row>
    <row r="21" spans="2:20">
      <c r="B21" s="188" t="s">
        <v>276</v>
      </c>
      <c r="C21" s="230">
        <f>(E77+E76)*C24/2</f>
        <v>80.845928788146011</v>
      </c>
      <c r="D21" s="189" t="s">
        <v>277</v>
      </c>
      <c r="F21" t="s">
        <v>278</v>
      </c>
      <c r="I21" t="s">
        <v>270</v>
      </c>
      <c r="T21" t="s">
        <v>357</v>
      </c>
    </row>
    <row r="22" spans="2:20">
      <c r="B22" s="188" t="s">
        <v>279</v>
      </c>
      <c r="C22" s="229">
        <f>E78</f>
        <v>3.3863372696100003</v>
      </c>
      <c r="D22" s="189" t="s">
        <v>268</v>
      </c>
      <c r="F22" t="s">
        <v>280</v>
      </c>
      <c r="I22" t="s">
        <v>281</v>
      </c>
    </row>
    <row r="23" spans="2:20">
      <c r="B23" s="188" t="s">
        <v>282</v>
      </c>
      <c r="C23" s="229">
        <f>C21/C24</f>
        <v>3.0886696767200004</v>
      </c>
      <c r="D23" s="189" t="s">
        <v>268</v>
      </c>
      <c r="F23" t="s">
        <v>283</v>
      </c>
      <c r="I23" t="s">
        <v>270</v>
      </c>
    </row>
    <row r="24" spans="2:20">
      <c r="B24" s="188" t="s">
        <v>284</v>
      </c>
      <c r="C24" s="230">
        <v>26.175000000000001</v>
      </c>
      <c r="D24" s="189" t="s">
        <v>268</v>
      </c>
      <c r="F24" t="s">
        <v>285</v>
      </c>
      <c r="I24" t="s">
        <v>270</v>
      </c>
    </row>
    <row r="25" spans="2:20">
      <c r="B25" s="188" t="s">
        <v>286</v>
      </c>
      <c r="C25" s="229">
        <f>E76/E77</f>
        <v>0.27960927960927962</v>
      </c>
      <c r="D25" s="189" t="s">
        <v>243</v>
      </c>
      <c r="F25" t="s">
        <v>287</v>
      </c>
      <c r="I25" t="s">
        <v>236</v>
      </c>
    </row>
    <row r="26" spans="2:20">
      <c r="B26" s="188" t="s">
        <v>288</v>
      </c>
      <c r="C26" s="229">
        <f>ATAN(TAN(RADIANS(D79))-4*0.25*(1-C25)/(C39*(1+C25)))</f>
        <v>0.47990295843520514</v>
      </c>
      <c r="D26" s="189" t="s">
        <v>289</v>
      </c>
      <c r="F26" t="s">
        <v>290</v>
      </c>
      <c r="I26" t="s">
        <v>236</v>
      </c>
    </row>
    <row r="27" spans="2:20">
      <c r="B27" s="188" t="s">
        <v>291</v>
      </c>
      <c r="C27" s="231">
        <v>-2.5</v>
      </c>
      <c r="D27" s="189" t="s">
        <v>243</v>
      </c>
      <c r="F27" t="s">
        <v>292</v>
      </c>
      <c r="I27" t="s">
        <v>245</v>
      </c>
    </row>
    <row r="28" spans="2:20">
      <c r="B28" s="188" t="s">
        <v>293</v>
      </c>
      <c r="C28" s="229">
        <f>1.55*1.2</f>
        <v>1.8599999999999999</v>
      </c>
      <c r="D28" s="189" t="s">
        <v>268</v>
      </c>
      <c r="F28" t="s">
        <v>294</v>
      </c>
      <c r="I28" t="s">
        <v>295</v>
      </c>
    </row>
    <row r="29" spans="2:20">
      <c r="B29" s="188" t="s">
        <v>296</v>
      </c>
      <c r="C29" s="230">
        <f>E90</f>
        <v>-12.545068078174001</v>
      </c>
      <c r="D29" s="189" t="s">
        <v>268</v>
      </c>
      <c r="E29" s="234" t="s">
        <v>297</v>
      </c>
      <c r="F29" t="s">
        <v>298</v>
      </c>
      <c r="I29" t="s">
        <v>299</v>
      </c>
    </row>
    <row r="30" spans="2:20">
      <c r="B30" s="188" t="s">
        <v>300</v>
      </c>
      <c r="C30" s="229">
        <f>((8.541)^2)/(15.91)</f>
        <v>4.5850836580766821</v>
      </c>
      <c r="D30" s="189" t="s">
        <v>243</v>
      </c>
      <c r="F30" t="s">
        <v>301</v>
      </c>
      <c r="I30" t="s">
        <v>302</v>
      </c>
    </row>
    <row r="31" spans="2:20">
      <c r="B31" s="188" t="s">
        <v>303</v>
      </c>
      <c r="C31" s="229">
        <f>ATAN(TAN(RADIANS(D83))-4*0.5*(1-C43)/(C30*(1+C43)))</f>
        <v>0.47262444883040128</v>
      </c>
      <c r="D31" s="189" t="s">
        <v>289</v>
      </c>
      <c r="F31" t="s">
        <v>304</v>
      </c>
      <c r="I31" t="s">
        <v>236</v>
      </c>
    </row>
    <row r="32" spans="2:20">
      <c r="B32" s="188" t="s">
        <v>305</v>
      </c>
      <c r="C32" s="229">
        <v>0.78</v>
      </c>
      <c r="D32" s="189" t="s">
        <v>243</v>
      </c>
      <c r="F32" t="s">
        <v>306</v>
      </c>
      <c r="I32" t="s">
        <v>307</v>
      </c>
    </row>
    <row r="33" spans="2:11">
      <c r="B33" s="188" t="s">
        <v>308</v>
      </c>
      <c r="C33" s="232">
        <v>0.95</v>
      </c>
      <c r="D33" s="189" t="s">
        <v>309</v>
      </c>
      <c r="F33" t="s">
        <v>310</v>
      </c>
      <c r="I33" t="s">
        <v>311</v>
      </c>
    </row>
    <row r="34" spans="2:11">
      <c r="B34" s="188" t="s">
        <v>312</v>
      </c>
      <c r="C34" s="229">
        <f>SQRT(1-(C32^2))</f>
        <v>0.62577951388648057</v>
      </c>
      <c r="D34" s="189" t="s">
        <v>309</v>
      </c>
      <c r="I34" t="s">
        <v>236</v>
      </c>
    </row>
    <row r="35" spans="2:11">
      <c r="B35" s="188" t="s">
        <v>313</v>
      </c>
      <c r="C35" s="197">
        <v>77.400000000000006</v>
      </c>
      <c r="D35" s="189" t="s">
        <v>277</v>
      </c>
      <c r="F35" t="s">
        <v>314</v>
      </c>
      <c r="I35" t="s">
        <v>307</v>
      </c>
    </row>
    <row r="36" spans="2:11">
      <c r="B36" s="188" t="s">
        <v>315</v>
      </c>
      <c r="C36" s="197">
        <v>21.5</v>
      </c>
      <c r="D36" s="189" t="s">
        <v>277</v>
      </c>
      <c r="I36" t="s">
        <v>307</v>
      </c>
    </row>
    <row r="37" spans="2:11">
      <c r="B37" s="188" t="s">
        <v>316</v>
      </c>
      <c r="C37" s="230">
        <f>E82</f>
        <v>16.919897532490001</v>
      </c>
      <c r="D37" s="189" t="s">
        <v>268</v>
      </c>
      <c r="I37" t="s">
        <v>317</v>
      </c>
      <c r="K37" t="s">
        <v>318</v>
      </c>
    </row>
    <row r="38" spans="2:11">
      <c r="B38" s="188" t="s">
        <v>319</v>
      </c>
      <c r="C38" s="229">
        <f>(2*PI()*C39)/(2+SQRT(4+((C39*C34/C33)^2)*(1+(TAN(C40)^2)/(C34^2))))</f>
        <v>6.2338547110151907</v>
      </c>
      <c r="D38" s="189" t="s">
        <v>239</v>
      </c>
      <c r="I38" t="s">
        <v>236</v>
      </c>
    </row>
    <row r="39" spans="2:11">
      <c r="B39" s="188" t="s">
        <v>320</v>
      </c>
      <c r="C39" s="229">
        <f>1.25*C24^2/C21</f>
        <v>10.593152853673086</v>
      </c>
      <c r="D39" s="189" t="s">
        <v>309</v>
      </c>
      <c r="I39" t="s">
        <v>236</v>
      </c>
    </row>
    <row r="40" spans="2:11">
      <c r="B40" s="188" t="s">
        <v>321</v>
      </c>
      <c r="C40" s="229">
        <f>RADIANS(D80)</f>
        <v>0.40299652428549076</v>
      </c>
      <c r="D40" s="189" t="s">
        <v>289</v>
      </c>
      <c r="I40" t="s">
        <v>317</v>
      </c>
    </row>
    <row r="41" spans="2:11">
      <c r="B41" s="188" t="s">
        <v>322</v>
      </c>
      <c r="C41" s="229">
        <f>E82/(C24/2)</f>
        <v>1.2928288467996181</v>
      </c>
      <c r="D41" s="189" t="s">
        <v>309</v>
      </c>
      <c r="I41" t="s">
        <v>236</v>
      </c>
    </row>
    <row r="42" spans="2:11">
      <c r="B42" s="188" t="s">
        <v>323</v>
      </c>
      <c r="C42" s="229">
        <f>E87/(C24/2)</f>
        <v>0.51253761632397332</v>
      </c>
      <c r="D42" s="189" t="s">
        <v>309</v>
      </c>
      <c r="I42" t="s">
        <v>236</v>
      </c>
    </row>
    <row r="43" spans="2:11">
      <c r="B43" s="188" t="s">
        <v>324</v>
      </c>
      <c r="C43" s="229">
        <f>E86/E85</f>
        <v>0.4696449026345933</v>
      </c>
      <c r="D43" s="189" t="s">
        <v>309</v>
      </c>
      <c r="I43" t="s">
        <v>236</v>
      </c>
    </row>
    <row r="44" spans="2:11">
      <c r="B44" s="188" t="s">
        <v>325</v>
      </c>
      <c r="C44" s="229">
        <f>(0.1124+0.1265*C26+0.1766*C26^2)/(C41^2) + 0.1024/C41 + 2</f>
        <v>2.2071103605696374</v>
      </c>
      <c r="D44" s="189" t="s">
        <v>309</v>
      </c>
      <c r="I44" t="s">
        <v>236</v>
      </c>
    </row>
    <row r="45" spans="2:11">
      <c r="B45" s="239" t="s">
        <v>326</v>
      </c>
      <c r="C45" s="240">
        <f>0.1124/(C41^2) + 0.1024/C41 + 2</f>
        <v>2.1464549076399546</v>
      </c>
      <c r="D45" s="241" t="s">
        <v>309</v>
      </c>
      <c r="I45" t="s">
        <v>236</v>
      </c>
    </row>
    <row r="46" spans="2:11">
      <c r="B46" s="209" t="s">
        <v>327</v>
      </c>
      <c r="C46" s="242">
        <v>124</v>
      </c>
      <c r="D46" s="210" t="s">
        <v>328</v>
      </c>
    </row>
    <row r="47" spans="2:11">
      <c r="B47" s="188" t="s">
        <v>327</v>
      </c>
      <c r="C47" s="184">
        <f>C46*0.51444</f>
        <v>63.790559999999999</v>
      </c>
      <c r="D47" s="189" t="s">
        <v>329</v>
      </c>
    </row>
    <row r="48" spans="2:11">
      <c r="B48" s="188" t="s">
        <v>330</v>
      </c>
      <c r="C48" s="184">
        <f>C47/343</f>
        <v>0.18597830903790089</v>
      </c>
      <c r="D48" s="189" t="s">
        <v>331</v>
      </c>
    </row>
    <row r="49" spans="2:7">
      <c r="B49" s="188" t="s">
        <v>332</v>
      </c>
      <c r="C49" s="184">
        <f>SQRT(1-(C48^2))</f>
        <v>0.98255385021249753</v>
      </c>
      <c r="D49" s="189"/>
    </row>
    <row r="50" spans="2:7">
      <c r="B50" s="190" t="s">
        <v>255</v>
      </c>
      <c r="C50" s="238">
        <f>(2*PI()*C39)/(2+SQRT(4+((C39*C49/C33)^2)*(1+(TAN(C40)^2)/(C49^2))))</f>
        <v>4.7173476621949044</v>
      </c>
      <c r="D50" s="191"/>
    </row>
    <row r="52" spans="2:7">
      <c r="B52" s="209" t="s">
        <v>358</v>
      </c>
      <c r="C52" s="210">
        <v>-0.12</v>
      </c>
    </row>
    <row r="53" spans="2:7">
      <c r="B53" s="188" t="s">
        <v>359</v>
      </c>
      <c r="C53" s="189">
        <f>C52*( (C39*COS(C26)^2)/(C39 + 2*COS(C26))   )</f>
        <v>-8.0876083239654104E-2</v>
      </c>
    </row>
    <row r="54" spans="2:7">
      <c r="B54" s="188" t="s">
        <v>360</v>
      </c>
      <c r="C54" s="189">
        <v>0.17460000000000001</v>
      </c>
      <c r="E54" t="s">
        <v>361</v>
      </c>
      <c r="G54" s="143" t="s">
        <v>362</v>
      </c>
    </row>
    <row r="55" spans="2:7">
      <c r="B55" s="188" t="s">
        <v>363</v>
      </c>
      <c r="C55" s="189">
        <f xml:space="preserve"> -1.8 * (1 - (2.5 * C18)/C20 ) * ( (PI()*C18*C19*C20)/(4*C21*C22) ) * (C54 / P7)</f>
        <v>-3.4412125792678279E-2</v>
      </c>
    </row>
    <row r="56" spans="2:7">
      <c r="B56" s="188" t="s">
        <v>364</v>
      </c>
      <c r="C56" s="246">
        <v>0.2</v>
      </c>
    </row>
    <row r="57" spans="2:7">
      <c r="B57" s="188" t="s">
        <v>365</v>
      </c>
      <c r="C57" s="246">
        <v>0.5</v>
      </c>
    </row>
    <row r="58" spans="2:7">
      <c r="B58" s="188" t="s">
        <v>366</v>
      </c>
      <c r="C58" s="246">
        <v>5.2499999999999998E-2</v>
      </c>
    </row>
    <row r="59" spans="2:7">
      <c r="B59" s="188" t="s">
        <v>367</v>
      </c>
      <c r="C59" s="246">
        <f>1.6*C60</f>
        <v>1.8815999999999999</v>
      </c>
      <c r="E59" s="143" t="s">
        <v>368</v>
      </c>
    </row>
    <row r="60" spans="2:7">
      <c r="B60" s="188" t="s">
        <v>369</v>
      </c>
      <c r="C60" s="246">
        <v>1.1759999999999999</v>
      </c>
    </row>
    <row r="61" spans="2:7">
      <c r="B61" s="188" t="s">
        <v>370</v>
      </c>
      <c r="C61" s="246">
        <v>28.437000000000001</v>
      </c>
    </row>
    <row r="62" spans="2:7">
      <c r="B62" s="188" t="s">
        <v>371</v>
      </c>
      <c r="C62" s="189">
        <f xml:space="preserve"> C57 * ( -C56*C59*C60 - (P9 + C59 * ( 1 - C61/C21 ))  * 1/8 * C60 * (C60 - 1)   ) + 0.7 * C39 / (1 + 2/C39) * C58 * C59 * TAN(C26)</f>
        <v>5.218835869904298E-2</v>
      </c>
    </row>
    <row r="63" spans="2:7">
      <c r="B63" s="188" t="s">
        <v>372</v>
      </c>
      <c r="C63" s="189">
        <f xml:space="preserve"> C62 - P9*(0.25 - C66/C22)</f>
        <v>-0.33214668838804062</v>
      </c>
    </row>
    <row r="64" spans="2:7">
      <c r="B64" s="188" t="s">
        <v>373</v>
      </c>
      <c r="C64" s="189">
        <f>C53+C55+C63</f>
        <v>-0.44743489742037301</v>
      </c>
    </row>
    <row r="65" spans="2:6">
      <c r="B65" s="188" t="s">
        <v>374</v>
      </c>
      <c r="C65" s="189">
        <v>0.38</v>
      </c>
    </row>
    <row r="66" spans="2:6">
      <c r="B66" s="190" t="s">
        <v>375</v>
      </c>
      <c r="C66" s="191">
        <f>C65 - 1.8*C18*C19*C20/(C5*C21*C22) + 0.273*C18*C23*(C24-C18)*TAN(C26)/((1+C25)*C22^2*(C24+2.15*C18)) + 2*C27*C28^2*C29/(C21*C22*C5)</f>
        <v>0.31152096681529995</v>
      </c>
    </row>
    <row r="69" spans="2:6">
      <c r="B69" s="184" t="s">
        <v>333</v>
      </c>
      <c r="D69" t="s">
        <v>334</v>
      </c>
      <c r="F69">
        <v>0.29472038900000003</v>
      </c>
    </row>
    <row r="70" spans="2:6">
      <c r="B70" s="198" t="s">
        <v>335</v>
      </c>
    </row>
    <row r="71" spans="2:6">
      <c r="B71" s="199" t="s">
        <v>336</v>
      </c>
    </row>
    <row r="72" spans="2:6">
      <c r="B72" s="220" t="s">
        <v>337</v>
      </c>
    </row>
    <row r="75" spans="2:6">
      <c r="B75" s="235" t="s">
        <v>228</v>
      </c>
      <c r="C75" s="236" t="s">
        <v>338</v>
      </c>
      <c r="D75" s="236" t="s">
        <v>339</v>
      </c>
      <c r="E75" s="237" t="s">
        <v>340</v>
      </c>
    </row>
    <row r="76" spans="2:6">
      <c r="B76" s="192" t="s">
        <v>341</v>
      </c>
      <c r="C76" s="193">
        <v>4.58</v>
      </c>
      <c r="D76" s="193"/>
      <c r="E76" s="194">
        <f>C76*F$69</f>
        <v>1.3498193816200001</v>
      </c>
    </row>
    <row r="77" spans="2:6">
      <c r="B77" s="188" t="s">
        <v>342</v>
      </c>
      <c r="C77" s="184">
        <v>16.38</v>
      </c>
      <c r="D77" s="184"/>
      <c r="E77" s="189">
        <f>C77*F$69</f>
        <v>4.8275199718200001</v>
      </c>
    </row>
    <row r="78" spans="2:6">
      <c r="B78" s="188" t="s">
        <v>343</v>
      </c>
      <c r="C78" s="184">
        <v>11.49</v>
      </c>
      <c r="D78" s="184"/>
      <c r="E78" s="189">
        <f>C78*F$69</f>
        <v>3.3863372696100003</v>
      </c>
    </row>
    <row r="79" spans="2:6">
      <c r="B79" s="188" t="s">
        <v>344</v>
      </c>
      <c r="C79" s="184"/>
      <c r="D79" s="184">
        <f>90-60.16</f>
        <v>29.840000000000003</v>
      </c>
      <c r="E79" s="189"/>
    </row>
    <row r="80" spans="2:6">
      <c r="B80" s="188" t="s">
        <v>321</v>
      </c>
      <c r="C80" s="184"/>
      <c r="D80" s="184">
        <f>90-66.91</f>
        <v>23.090000000000003</v>
      </c>
      <c r="E80" s="189"/>
    </row>
    <row r="81" spans="2:14">
      <c r="B81" s="188" t="s">
        <v>296</v>
      </c>
      <c r="C81" s="184">
        <v>-40.29</v>
      </c>
      <c r="D81" s="184"/>
      <c r="E81" s="189">
        <f>C81*F$69</f>
        <v>-11.87428447281</v>
      </c>
    </row>
    <row r="82" spans="2:14">
      <c r="B82" s="188" t="s">
        <v>316</v>
      </c>
      <c r="C82" s="184">
        <v>57.41</v>
      </c>
      <c r="D82" s="184"/>
      <c r="E82" s="189">
        <f>C82*F$69</f>
        <v>16.919897532490001</v>
      </c>
    </row>
    <row r="83" spans="2:14">
      <c r="B83" s="188" t="s">
        <v>345</v>
      </c>
      <c r="C83" s="184"/>
      <c r="D83" s="184">
        <f>90-56.23</f>
        <v>33.770000000000003</v>
      </c>
      <c r="E83" s="189"/>
    </row>
    <row r="84" spans="2:14">
      <c r="B84" s="188" t="s">
        <v>303</v>
      </c>
      <c r="C84" s="184"/>
      <c r="D84" s="184"/>
      <c r="E84" s="189"/>
    </row>
    <row r="85" spans="2:14">
      <c r="B85" s="188" t="s">
        <v>346</v>
      </c>
      <c r="C85" s="184">
        <v>8.73</v>
      </c>
      <c r="D85" s="184"/>
      <c r="E85" s="189">
        <f>C85*F$69</f>
        <v>2.5729089959700002</v>
      </c>
    </row>
    <row r="86" spans="2:14">
      <c r="B86" s="188" t="s">
        <v>347</v>
      </c>
      <c r="C86" s="184">
        <v>4.0999999999999996</v>
      </c>
      <c r="D86" s="184"/>
      <c r="E86" s="189">
        <f>C86*F$69</f>
        <v>1.2083535948999999</v>
      </c>
    </row>
    <row r="87" spans="2:14">
      <c r="B87" s="188" t="s">
        <v>348</v>
      </c>
      <c r="C87" s="184">
        <v>22.76</v>
      </c>
      <c r="D87" s="184"/>
      <c r="E87" s="189">
        <f>C87*F$69</f>
        <v>6.7078360536400012</v>
      </c>
    </row>
    <row r="88" spans="2:14">
      <c r="B88" s="188" t="s">
        <v>349</v>
      </c>
      <c r="C88" s="184">
        <v>11.38</v>
      </c>
      <c r="D88" s="184"/>
      <c r="E88" s="189">
        <f>C88*F$69</f>
        <v>3.3539180268200006</v>
      </c>
    </row>
    <row r="89" spans="2:14">
      <c r="B89" s="188"/>
      <c r="C89" s="184"/>
      <c r="D89" s="184"/>
      <c r="E89" s="189"/>
    </row>
    <row r="90" spans="2:14">
      <c r="B90" s="190" t="s">
        <v>376</v>
      </c>
      <c r="C90" s="238"/>
      <c r="D90" s="238"/>
      <c r="E90" s="191">
        <f>E81-0.2*E88</f>
        <v>-12.545068078174001</v>
      </c>
    </row>
    <row r="91" spans="2:14" ht="15.75">
      <c r="N91" s="211"/>
    </row>
  </sheetData>
  <mergeCells count="5">
    <mergeCell ref="B2:D2"/>
    <mergeCell ref="O2:Q2"/>
    <mergeCell ref="B15:D15"/>
    <mergeCell ref="L2:M2"/>
    <mergeCell ref="L7:M7"/>
  </mergeCells>
  <hyperlinks>
    <hyperlink ref="G54" r:id="rId1" xr:uid="{3E55DDC8-6350-4001-8B22-D60894AD9ECC}"/>
    <hyperlink ref="E59" r:id="rId2" xr:uid="{E14D06F8-A0BE-45DE-ACBA-7EDE5D558A8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4A0E-9C03-4E78-B4FC-1B5AE0D85500}">
  <dimension ref="B2:T91"/>
  <sheetViews>
    <sheetView topLeftCell="A20" workbookViewId="0">
      <selection activeCell="G74" sqref="G74"/>
    </sheetView>
  </sheetViews>
  <sheetFormatPr defaultRowHeight="15"/>
  <cols>
    <col min="2" max="2" width="14" customWidth="1"/>
    <col min="3" max="3" width="17.85546875" customWidth="1"/>
    <col min="4" max="4" width="21.5703125" customWidth="1"/>
    <col min="5" max="5" width="24" customWidth="1"/>
    <col min="6" max="6" width="13.140625" customWidth="1"/>
    <col min="8" max="8" width="10.5703125" customWidth="1"/>
    <col min="12" max="12" width="23.140625" customWidth="1"/>
    <col min="14" max="14" width="9.7109375" customWidth="1"/>
    <col min="15" max="15" width="19.5703125" customWidth="1"/>
    <col min="16" max="16" width="19.7109375" customWidth="1"/>
    <col min="22" max="22" width="13.7109375" customWidth="1"/>
    <col min="23" max="23" width="13.28515625" customWidth="1"/>
    <col min="24" max="24" width="13.85546875" customWidth="1"/>
  </cols>
  <sheetData>
    <row r="2" spans="2:17">
      <c r="B2" s="300" t="s">
        <v>225</v>
      </c>
      <c r="C2" s="301"/>
      <c r="D2" s="302"/>
      <c r="L2" s="306" t="s">
        <v>351</v>
      </c>
      <c r="M2" s="307"/>
      <c r="O2" s="303" t="s">
        <v>227</v>
      </c>
      <c r="P2" s="304"/>
      <c r="Q2" s="305"/>
    </row>
    <row r="3" spans="2:17">
      <c r="B3" s="185" t="s">
        <v>228</v>
      </c>
      <c r="C3" s="186" t="s">
        <v>229</v>
      </c>
      <c r="D3" s="187" t="s">
        <v>1</v>
      </c>
      <c r="F3" s="183" t="s">
        <v>230</v>
      </c>
      <c r="L3" s="192" t="s">
        <v>226</v>
      </c>
      <c r="M3" s="194">
        <f xml:space="preserve"> 1 / ( (P4/(P9)) *C37/C22 * C6  )</f>
        <v>-0.40568245950182907</v>
      </c>
      <c r="O3" s="243" t="s">
        <v>228</v>
      </c>
      <c r="P3" s="244" t="s">
        <v>229</v>
      </c>
      <c r="Q3" s="245" t="s">
        <v>1</v>
      </c>
    </row>
    <row r="4" spans="2:17">
      <c r="B4" s="192" t="s">
        <v>232</v>
      </c>
      <c r="C4" s="193">
        <f>C17 - 1.8*C18*C19*C20/(C5*C21*C22) + 0.273*C18*C23*(C24-C18)*TAN(C26)/((1+C25)*C22^2*(C24+2.15*C18)) + 2*C27*C28^2*C29/(C21*C22*C5)</f>
        <v>0.23397652910740363</v>
      </c>
      <c r="D4" s="194" t="s">
        <v>233</v>
      </c>
      <c r="E4" t="s">
        <v>234</v>
      </c>
      <c r="F4" t="s">
        <v>235</v>
      </c>
      <c r="I4" t="s">
        <v>236</v>
      </c>
      <c r="L4" s="190" t="s">
        <v>231</v>
      </c>
      <c r="M4" s="191">
        <f xml:space="preserve"> (P5/(P9) - C4) / ( (P4/(P9)) *C37/C22 * C6  )</f>
        <v>0.19223082213613191</v>
      </c>
      <c r="O4" s="188" t="s">
        <v>237</v>
      </c>
      <c r="P4" s="184">
        <v>-1</v>
      </c>
      <c r="Q4" s="189"/>
    </row>
    <row r="5" spans="2:17">
      <c r="B5" s="188" t="s">
        <v>238</v>
      </c>
      <c r="C5" s="184">
        <f>C38*(1+2.15*C18/C24)*C35/C21+PI()*C18^2/(2*C21)</f>
        <v>7.0250560836662688</v>
      </c>
      <c r="D5" s="189" t="s">
        <v>239</v>
      </c>
      <c r="F5" t="s">
        <v>240</v>
      </c>
      <c r="I5" t="s">
        <v>236</v>
      </c>
      <c r="O5" s="188" t="s">
        <v>241</v>
      </c>
      <c r="P5" s="184">
        <f>C64</f>
        <v>-0.48621447531089679</v>
      </c>
      <c r="Q5" s="189"/>
    </row>
    <row r="6" spans="2:17">
      <c r="B6" s="188" t="s">
        <v>242</v>
      </c>
      <c r="C6" s="195">
        <v>1</v>
      </c>
      <c r="D6" s="189" t="s">
        <v>243</v>
      </c>
      <c r="F6" t="s">
        <v>244</v>
      </c>
      <c r="I6" t="s">
        <v>245</v>
      </c>
      <c r="O6" s="188" t="s">
        <v>247</v>
      </c>
      <c r="P6" s="184">
        <f>10*PI()/180</f>
        <v>0.17453292519943295</v>
      </c>
      <c r="Q6" s="189" t="s">
        <v>248</v>
      </c>
    </row>
    <row r="7" spans="2:17">
      <c r="B7" s="188" t="s">
        <v>249</v>
      </c>
      <c r="C7" s="184">
        <f>(2*PI()*C30)/(2+SQRT(4+((C30*C34/C33)^2)*(1+(TAN(C31)^2)/(C34^2))))</f>
        <v>4.5133530997060545</v>
      </c>
      <c r="D7" s="189" t="s">
        <v>239</v>
      </c>
      <c r="F7" t="s">
        <v>250</v>
      </c>
      <c r="I7" t="s">
        <v>236</v>
      </c>
      <c r="L7" s="306" t="s">
        <v>352</v>
      </c>
      <c r="M7" s="307"/>
      <c r="O7" s="188" t="s">
        <v>251</v>
      </c>
      <c r="P7" s="184">
        <f>C50*(1+2.15*C18/C24)*C35/C21+PI()*C18^2/(2*C21)</f>
        <v>5.4348252918498794</v>
      </c>
      <c r="Q7" s="189"/>
    </row>
    <row r="8" spans="2:17">
      <c r="B8" s="188" t="s">
        <v>252</v>
      </c>
      <c r="C8" s="184">
        <f>(C44/C45) * ((C41/(C41^2+C42^2))*(0.4876/(SQRT(C41^2+0.6319+C42^2))) + (1 + (C41^2/(C41^2+0.7915+5.0734*C42^2))^0.3113)*(1 - SQRT(C42^2/(1+C42^2)))) * C38/(PI()*C39)</f>
        <v>0.26550709480320478</v>
      </c>
      <c r="D8" s="189" t="s">
        <v>243</v>
      </c>
      <c r="E8" t="s">
        <v>253</v>
      </c>
      <c r="F8" t="s">
        <v>254</v>
      </c>
      <c r="I8" t="s">
        <v>236</v>
      </c>
      <c r="L8" s="192" t="s">
        <v>226</v>
      </c>
      <c r="M8" s="194">
        <f>1 / (  ( C7/C5)* ( 1 - C8  ) *(C37/C22) * ( C6 )    )</f>
        <v>0.42412645331299709</v>
      </c>
      <c r="O8" s="188" t="s">
        <v>255</v>
      </c>
      <c r="P8" s="184">
        <f>C50</f>
        <v>4.5272183841447031</v>
      </c>
      <c r="Q8" s="189"/>
    </row>
    <row r="9" spans="2:17">
      <c r="B9" s="190" t="s">
        <v>256</v>
      </c>
      <c r="C9" s="196">
        <v>0.05</v>
      </c>
      <c r="D9" s="191" t="s">
        <v>243</v>
      </c>
      <c r="F9" t="s">
        <v>257</v>
      </c>
      <c r="I9" t="s">
        <v>245</v>
      </c>
      <c r="L9" s="190" t="s">
        <v>231</v>
      </c>
      <c r="M9" s="191">
        <f xml:space="preserve"> (  C4 - C9  ) / (  ( C7/C5)* ( 1 - C8  ) *(C37/C22) * ( C6 )    )</f>
        <v>7.8029312783158486E-2</v>
      </c>
      <c r="O9" s="190" t="s">
        <v>258</v>
      </c>
      <c r="P9" s="238">
        <v>2.0270000000000001</v>
      </c>
      <c r="Q9" s="191"/>
    </row>
    <row r="10" spans="2:17">
      <c r="B10" t="s">
        <v>237</v>
      </c>
      <c r="C10">
        <v>-1</v>
      </c>
      <c r="F10" t="s">
        <v>259</v>
      </c>
      <c r="I10" t="s">
        <v>260</v>
      </c>
    </row>
    <row r="11" spans="2:17">
      <c r="B11" t="s">
        <v>241</v>
      </c>
      <c r="C11">
        <v>-0.12</v>
      </c>
      <c r="F11" t="s">
        <v>261</v>
      </c>
      <c r="I11" t="s">
        <v>260</v>
      </c>
    </row>
    <row r="12" spans="2:17">
      <c r="B12" t="s">
        <v>247</v>
      </c>
      <c r="C12">
        <f>10*PI()/180</f>
        <v>0.17453292519943295</v>
      </c>
      <c r="D12" t="s">
        <v>248</v>
      </c>
      <c r="F12" t="s">
        <v>262</v>
      </c>
    </row>
    <row r="14" spans="2:17" ht="15.75" thickBot="1"/>
    <row r="15" spans="2:17">
      <c r="B15" s="300" t="s">
        <v>263</v>
      </c>
      <c r="C15" s="301"/>
      <c r="D15" s="302"/>
    </row>
    <row r="16" spans="2:17">
      <c r="B16" s="206" t="s">
        <v>228</v>
      </c>
      <c r="C16" s="207" t="s">
        <v>229</v>
      </c>
      <c r="D16" s="208" t="s">
        <v>1</v>
      </c>
      <c r="F16" t="s">
        <v>230</v>
      </c>
    </row>
    <row r="17" spans="2:20">
      <c r="B17" s="209" t="s">
        <v>264</v>
      </c>
      <c r="C17" s="212">
        <v>0.35</v>
      </c>
      <c r="D17" s="210" t="s">
        <v>233</v>
      </c>
      <c r="F17" t="s">
        <v>265</v>
      </c>
      <c r="I17" t="s">
        <v>266</v>
      </c>
      <c r="T17" t="s">
        <v>353</v>
      </c>
    </row>
    <row r="18" spans="2:20">
      <c r="B18" s="188" t="s">
        <v>267</v>
      </c>
      <c r="C18" s="233">
        <v>2.6949999999999998</v>
      </c>
      <c r="D18" s="189" t="s">
        <v>268</v>
      </c>
      <c r="F18" t="s">
        <v>269</v>
      </c>
      <c r="I18" t="s">
        <v>270</v>
      </c>
      <c r="T18" t="s">
        <v>354</v>
      </c>
    </row>
    <row r="19" spans="2:20">
      <c r="B19" s="188" t="s">
        <v>271</v>
      </c>
      <c r="C19" s="229">
        <v>2.6949999999999998</v>
      </c>
      <c r="D19" s="189" t="s">
        <v>268</v>
      </c>
      <c r="E19" s="167"/>
      <c r="F19" t="s">
        <v>272</v>
      </c>
      <c r="I19" t="s">
        <v>273</v>
      </c>
      <c r="T19" t="s">
        <v>355</v>
      </c>
    </row>
    <row r="20" spans="2:20">
      <c r="B20" s="188" t="s">
        <v>274</v>
      </c>
      <c r="C20" s="230">
        <v>36.466000000000001</v>
      </c>
      <c r="D20" s="189" t="s">
        <v>268</v>
      </c>
      <c r="F20" t="s">
        <v>4</v>
      </c>
      <c r="I20" t="s">
        <v>275</v>
      </c>
      <c r="T20" t="s">
        <v>356</v>
      </c>
    </row>
    <row r="21" spans="2:20">
      <c r="B21" s="188" t="s">
        <v>276</v>
      </c>
      <c r="C21" s="230">
        <f>(E77+E76)*C24/2</f>
        <v>80.845928788146011</v>
      </c>
      <c r="D21" s="189" t="s">
        <v>277</v>
      </c>
      <c r="F21" t="s">
        <v>278</v>
      </c>
      <c r="I21" t="s">
        <v>270</v>
      </c>
      <c r="T21" t="s">
        <v>357</v>
      </c>
    </row>
    <row r="22" spans="2:20">
      <c r="B22" s="188" t="s">
        <v>279</v>
      </c>
      <c r="C22" s="229">
        <f>E78</f>
        <v>3.3863372696100003</v>
      </c>
      <c r="D22" s="189" t="s">
        <v>268</v>
      </c>
      <c r="F22" t="s">
        <v>280</v>
      </c>
      <c r="I22" t="s">
        <v>281</v>
      </c>
    </row>
    <row r="23" spans="2:20">
      <c r="B23" s="188" t="s">
        <v>282</v>
      </c>
      <c r="C23" s="229">
        <f>C21/C24</f>
        <v>3.0886696767200004</v>
      </c>
      <c r="D23" s="189" t="s">
        <v>268</v>
      </c>
      <c r="F23" t="s">
        <v>283</v>
      </c>
      <c r="I23" t="s">
        <v>270</v>
      </c>
    </row>
    <row r="24" spans="2:20">
      <c r="B24" s="188" t="s">
        <v>284</v>
      </c>
      <c r="C24" s="230">
        <v>26.175000000000001</v>
      </c>
      <c r="D24" s="189" t="s">
        <v>268</v>
      </c>
      <c r="F24" t="s">
        <v>285</v>
      </c>
      <c r="I24" t="s">
        <v>270</v>
      </c>
    </row>
    <row r="25" spans="2:20">
      <c r="B25" s="188" t="s">
        <v>286</v>
      </c>
      <c r="C25" s="229">
        <f>E76/E77</f>
        <v>0.27960927960927962</v>
      </c>
      <c r="D25" s="189" t="s">
        <v>243</v>
      </c>
      <c r="F25" t="s">
        <v>287</v>
      </c>
      <c r="I25" t="s">
        <v>236</v>
      </c>
    </row>
    <row r="26" spans="2:20">
      <c r="B26" s="188" t="s">
        <v>288</v>
      </c>
      <c r="C26" s="229">
        <f>ATAN(TAN(RADIANS(D79))-4*0.25*(1-C25)/(C39*(1+C25)))</f>
        <v>0.46939192967954035</v>
      </c>
      <c r="D26" s="189" t="s">
        <v>289</v>
      </c>
      <c r="F26" t="s">
        <v>290</v>
      </c>
      <c r="I26" t="s">
        <v>236</v>
      </c>
    </row>
    <row r="27" spans="2:20">
      <c r="B27" s="188" t="s">
        <v>291</v>
      </c>
      <c r="C27" s="231">
        <v>-2.5</v>
      </c>
      <c r="D27" s="189" t="s">
        <v>243</v>
      </c>
      <c r="F27" t="s">
        <v>292</v>
      </c>
      <c r="I27" t="s">
        <v>245</v>
      </c>
    </row>
    <row r="28" spans="2:20">
      <c r="B28" s="188" t="s">
        <v>293</v>
      </c>
      <c r="C28" s="229">
        <v>1.55</v>
      </c>
      <c r="D28" s="189" t="s">
        <v>268</v>
      </c>
      <c r="F28" t="s">
        <v>294</v>
      </c>
      <c r="I28" t="s">
        <v>295</v>
      </c>
      <c r="T28" t="s">
        <v>377</v>
      </c>
    </row>
    <row r="29" spans="2:20">
      <c r="B29" s="188" t="s">
        <v>296</v>
      </c>
      <c r="C29" s="230">
        <f>E81</f>
        <v>-11.87428447281</v>
      </c>
      <c r="D29" s="189" t="s">
        <v>268</v>
      </c>
      <c r="E29" s="234" t="s">
        <v>297</v>
      </c>
      <c r="F29" t="s">
        <v>298</v>
      </c>
      <c r="I29" t="s">
        <v>299</v>
      </c>
    </row>
    <row r="30" spans="2:20">
      <c r="B30" s="188" t="s">
        <v>300</v>
      </c>
      <c r="C30" s="229">
        <f>((8.541)^2)/(15.91)</f>
        <v>4.5850836580766821</v>
      </c>
      <c r="D30" s="189" t="s">
        <v>243</v>
      </c>
      <c r="F30" t="s">
        <v>301</v>
      </c>
      <c r="I30" t="s">
        <v>302</v>
      </c>
    </row>
    <row r="31" spans="2:20">
      <c r="B31" s="188" t="s">
        <v>303</v>
      </c>
      <c r="C31" s="229">
        <f>ATAN(TAN(RADIANS(D83))-4*0.5*(1-C43)/(C30*(1+C43)))</f>
        <v>0.47262444883040128</v>
      </c>
      <c r="D31" s="189" t="s">
        <v>289</v>
      </c>
      <c r="F31" t="s">
        <v>304</v>
      </c>
      <c r="I31" t="s">
        <v>236</v>
      </c>
    </row>
    <row r="32" spans="2:20">
      <c r="B32" s="188" t="s">
        <v>305</v>
      </c>
      <c r="C32" s="229">
        <v>0.78</v>
      </c>
      <c r="D32" s="189" t="s">
        <v>243</v>
      </c>
      <c r="F32" t="s">
        <v>306</v>
      </c>
      <c r="I32" t="s">
        <v>307</v>
      </c>
    </row>
    <row r="33" spans="2:11">
      <c r="B33" s="188" t="s">
        <v>308</v>
      </c>
      <c r="C33" s="232">
        <v>0.95</v>
      </c>
      <c r="D33" s="189" t="s">
        <v>309</v>
      </c>
      <c r="F33" t="s">
        <v>310</v>
      </c>
      <c r="I33" t="s">
        <v>311</v>
      </c>
    </row>
    <row r="34" spans="2:11">
      <c r="B34" s="188" t="s">
        <v>312</v>
      </c>
      <c r="C34" s="229">
        <f>SQRT(1-(C32^2))</f>
        <v>0.62577951388648057</v>
      </c>
      <c r="D34" s="189" t="s">
        <v>309</v>
      </c>
      <c r="I34" t="s">
        <v>236</v>
      </c>
    </row>
    <row r="35" spans="2:11">
      <c r="B35" s="188" t="s">
        <v>313</v>
      </c>
      <c r="C35" s="197">
        <v>77.400000000000006</v>
      </c>
      <c r="D35" s="189" t="s">
        <v>277</v>
      </c>
      <c r="F35" t="s">
        <v>314</v>
      </c>
      <c r="I35" t="s">
        <v>307</v>
      </c>
    </row>
    <row r="36" spans="2:11">
      <c r="B36" s="188" t="s">
        <v>315</v>
      </c>
      <c r="C36" s="197">
        <v>21.5</v>
      </c>
      <c r="D36" s="189" t="s">
        <v>277</v>
      </c>
      <c r="I36" t="s">
        <v>307</v>
      </c>
    </row>
    <row r="37" spans="2:11">
      <c r="B37" s="188" t="s">
        <v>316</v>
      </c>
      <c r="C37" s="230">
        <f>E82</f>
        <v>16.919897532490001</v>
      </c>
      <c r="D37" s="189" t="s">
        <v>268</v>
      </c>
      <c r="I37" t="s">
        <v>317</v>
      </c>
      <c r="K37" t="s">
        <v>318</v>
      </c>
    </row>
    <row r="38" spans="2:11">
      <c r="B38" s="188" t="s">
        <v>319</v>
      </c>
      <c r="C38" s="229">
        <f>(2*PI()*C39)/(2+SQRT(4+((C39*C34/C33)^2)*(1+(TAN(C40)^2)/(C34^2))))</f>
        <v>5.8871954826506006</v>
      </c>
      <c r="D38" s="189" t="s">
        <v>239</v>
      </c>
      <c r="I38" t="s">
        <v>236</v>
      </c>
    </row>
    <row r="39" spans="2:11">
      <c r="B39" s="188" t="s">
        <v>320</v>
      </c>
      <c r="C39" s="229">
        <f>C24^2/C21</f>
        <v>8.4745222829384694</v>
      </c>
      <c r="D39" s="189" t="s">
        <v>309</v>
      </c>
      <c r="I39" t="s">
        <v>236</v>
      </c>
    </row>
    <row r="40" spans="2:11">
      <c r="B40" s="188" t="s">
        <v>321</v>
      </c>
      <c r="C40" s="229">
        <f>RADIANS(D80)</f>
        <v>0.40299652428549076</v>
      </c>
      <c r="D40" s="189" t="s">
        <v>289</v>
      </c>
      <c r="I40" t="s">
        <v>317</v>
      </c>
    </row>
    <row r="41" spans="2:11">
      <c r="B41" s="188" t="s">
        <v>322</v>
      </c>
      <c r="C41" s="229">
        <f>E82/(C24/2)</f>
        <v>1.2928288467996181</v>
      </c>
      <c r="D41" s="189" t="s">
        <v>309</v>
      </c>
      <c r="I41" t="s">
        <v>236</v>
      </c>
    </row>
    <row r="42" spans="2:11">
      <c r="B42" s="188" t="s">
        <v>323</v>
      </c>
      <c r="C42" s="229">
        <f>E87/(C24/2)</f>
        <v>0.51253761632397332</v>
      </c>
      <c r="D42" s="189" t="s">
        <v>309</v>
      </c>
      <c r="I42" t="s">
        <v>236</v>
      </c>
    </row>
    <row r="43" spans="2:11">
      <c r="B43" s="188" t="s">
        <v>324</v>
      </c>
      <c r="C43" s="229">
        <f>E86/E85</f>
        <v>0.4696449026345933</v>
      </c>
      <c r="D43" s="189" t="s">
        <v>309</v>
      </c>
      <c r="I43" t="s">
        <v>236</v>
      </c>
    </row>
    <row r="44" spans="2:11">
      <c r="B44" s="188" t="s">
        <v>325</v>
      </c>
      <c r="C44" s="229">
        <f>(0.1124+0.1265*C26+0.1766*C26^2)/(C41^2) + 0.1024/C41 + 2</f>
        <v>2.2052605581999276</v>
      </c>
      <c r="D44" s="189" t="s">
        <v>309</v>
      </c>
      <c r="I44" t="s">
        <v>236</v>
      </c>
    </row>
    <row r="45" spans="2:11">
      <c r="B45" s="239" t="s">
        <v>326</v>
      </c>
      <c r="C45" s="240">
        <f>0.1124/(C41^2) + 0.1024/C41 + 2</f>
        <v>2.1464549076399546</v>
      </c>
      <c r="D45" s="241" t="s">
        <v>309</v>
      </c>
      <c r="I45" t="s">
        <v>236</v>
      </c>
    </row>
    <row r="46" spans="2:11">
      <c r="B46" s="209" t="s">
        <v>327</v>
      </c>
      <c r="C46" s="242">
        <v>124</v>
      </c>
      <c r="D46" s="210" t="s">
        <v>328</v>
      </c>
    </row>
    <row r="47" spans="2:11">
      <c r="B47" s="188" t="s">
        <v>327</v>
      </c>
      <c r="C47" s="184">
        <f>C46*0.51444</f>
        <v>63.790559999999999</v>
      </c>
      <c r="D47" s="189" t="s">
        <v>329</v>
      </c>
    </row>
    <row r="48" spans="2:11">
      <c r="B48" s="188" t="s">
        <v>330</v>
      </c>
      <c r="C48" s="184">
        <f>C47/343</f>
        <v>0.18597830903790089</v>
      </c>
      <c r="D48" s="189" t="s">
        <v>331</v>
      </c>
    </row>
    <row r="49" spans="2:7">
      <c r="B49" s="188" t="s">
        <v>332</v>
      </c>
      <c r="C49" s="184">
        <f>SQRT(1-(C48^2))</f>
        <v>0.98255385021249753</v>
      </c>
      <c r="D49" s="189"/>
    </row>
    <row r="50" spans="2:7">
      <c r="B50" s="190" t="s">
        <v>255</v>
      </c>
      <c r="C50" s="238">
        <f>(2*PI()*C39)/(2+SQRT(4+((C39*C49/C33)^2)*(1+(TAN(C40)^2)/(C49^2))))</f>
        <v>4.5272183841447031</v>
      </c>
      <c r="D50" s="191"/>
    </row>
    <row r="52" spans="2:7">
      <c r="B52" s="209" t="s">
        <v>358</v>
      </c>
      <c r="C52" s="210">
        <v>-0.12</v>
      </c>
    </row>
    <row r="53" spans="2:7">
      <c r="B53" s="188" t="s">
        <v>359</v>
      </c>
      <c r="C53" s="189">
        <f>C52*( (C39*COS(C26)^2)/(C39 + 2*COS(C26))   )</f>
        <v>-7.8850096411333656E-2</v>
      </c>
    </row>
    <row r="54" spans="2:7">
      <c r="B54" s="188" t="s">
        <v>360</v>
      </c>
      <c r="C54" s="189">
        <v>0.17460000000000001</v>
      </c>
      <c r="E54" t="s">
        <v>361</v>
      </c>
      <c r="G54" s="143" t="s">
        <v>362</v>
      </c>
    </row>
    <row r="55" spans="2:7">
      <c r="B55" s="188" t="s">
        <v>363</v>
      </c>
      <c r="C55" s="189">
        <f xml:space="preserve"> -1.8 * (1 - (2.5 * C18)/C20 ) * ( (PI()*C18*C19*C20)/(4*C21*C22) ) * (C54 / P7)</f>
        <v>-3.5819804289455262E-2</v>
      </c>
    </row>
    <row r="56" spans="2:7">
      <c r="B56" s="188" t="s">
        <v>364</v>
      </c>
      <c r="C56" s="246">
        <v>0.2</v>
      </c>
    </row>
    <row r="57" spans="2:7">
      <c r="B57" s="188" t="s">
        <v>365</v>
      </c>
      <c r="C57" s="246">
        <v>0.5</v>
      </c>
    </row>
    <row r="58" spans="2:7">
      <c r="B58" s="188" t="s">
        <v>366</v>
      </c>
      <c r="C58" s="246">
        <v>5.2499999999999998E-2</v>
      </c>
    </row>
    <row r="59" spans="2:7">
      <c r="B59" s="188" t="s">
        <v>367</v>
      </c>
      <c r="C59" s="246">
        <f>1.6*C60</f>
        <v>1.8815999999999999</v>
      </c>
      <c r="E59" s="143" t="s">
        <v>368</v>
      </c>
    </row>
    <row r="60" spans="2:7">
      <c r="B60" s="188" t="s">
        <v>369</v>
      </c>
      <c r="C60" s="246">
        <v>1.1759999999999999</v>
      </c>
    </row>
    <row r="61" spans="2:7">
      <c r="B61" s="188" t="s">
        <v>370</v>
      </c>
      <c r="C61" s="246">
        <v>28.437000000000001</v>
      </c>
    </row>
    <row r="62" spans="2:7">
      <c r="B62" s="188" t="s">
        <v>371</v>
      </c>
      <c r="C62" s="189">
        <f xml:space="preserve"> C57 * ( -C56*C59*C60 - (P9 + C59 * ( 1 - C61/C21 ))  * 1/8 * C60 * (C60 - 1)   ) + 0.7 * C39 / (1 + 2/C39) * C58 * C59 * TAN(C26)</f>
        <v>-2.2806131610846825E-2</v>
      </c>
    </row>
    <row r="63" spans="2:7">
      <c r="B63" s="188" t="s">
        <v>372</v>
      </c>
      <c r="C63" s="189">
        <f xml:space="preserve"> C62 - P9*(0.25 - C66/C22)</f>
        <v>-0.37154457461010787</v>
      </c>
    </row>
    <row r="64" spans="2:7">
      <c r="B64" s="188" t="s">
        <v>373</v>
      </c>
      <c r="C64" s="189">
        <f>C53+C55+C63</f>
        <v>-0.48621447531089679</v>
      </c>
    </row>
    <row r="65" spans="2:6">
      <c r="B65" s="188" t="s">
        <v>374</v>
      </c>
      <c r="C65" s="189">
        <v>0.38</v>
      </c>
    </row>
    <row r="66" spans="2:6">
      <c r="B66" s="190" t="s">
        <v>375</v>
      </c>
      <c r="C66" s="191">
        <f>C65 - 1.8*C18*C19*C20/(C5*C21*C22) + 0.273*C18*C23*(C24-C18)*TAN(C26)/((1+C25)*C22^2*(C24+2.15*C18)) + 2*C27*C28^2*C29/(C21*C22*C5)</f>
        <v>0.26397652910740366</v>
      </c>
    </row>
    <row r="69" spans="2:6">
      <c r="B69" s="184" t="s">
        <v>333</v>
      </c>
      <c r="D69" t="s">
        <v>334</v>
      </c>
      <c r="F69">
        <v>0.29472038900000003</v>
      </c>
    </row>
    <row r="70" spans="2:6">
      <c r="B70" s="198" t="s">
        <v>335</v>
      </c>
    </row>
    <row r="71" spans="2:6">
      <c r="B71" s="199" t="s">
        <v>336</v>
      </c>
    </row>
    <row r="72" spans="2:6">
      <c r="B72" s="220" t="s">
        <v>337</v>
      </c>
    </row>
    <row r="75" spans="2:6">
      <c r="B75" s="235" t="s">
        <v>228</v>
      </c>
      <c r="C75" s="236" t="s">
        <v>338</v>
      </c>
      <c r="D75" s="236" t="s">
        <v>339</v>
      </c>
      <c r="E75" s="237" t="s">
        <v>340</v>
      </c>
    </row>
    <row r="76" spans="2:6">
      <c r="B76" s="192" t="s">
        <v>341</v>
      </c>
      <c r="C76" s="193">
        <v>4.58</v>
      </c>
      <c r="D76" s="193"/>
      <c r="E76" s="194">
        <f>C76*F$69</f>
        <v>1.3498193816200001</v>
      </c>
    </row>
    <row r="77" spans="2:6">
      <c r="B77" s="188" t="s">
        <v>342</v>
      </c>
      <c r="C77" s="184">
        <v>16.38</v>
      </c>
      <c r="D77" s="184"/>
      <c r="E77" s="189">
        <f>C77*F$69</f>
        <v>4.8275199718200001</v>
      </c>
    </row>
    <row r="78" spans="2:6">
      <c r="B78" s="188" t="s">
        <v>343</v>
      </c>
      <c r="C78" s="184">
        <v>11.49</v>
      </c>
      <c r="D78" s="184"/>
      <c r="E78" s="189">
        <f>C78*F$69</f>
        <v>3.3863372696100003</v>
      </c>
    </row>
    <row r="79" spans="2:6">
      <c r="B79" s="188" t="s">
        <v>344</v>
      </c>
      <c r="C79" s="184"/>
      <c r="D79" s="184">
        <f>90-60.16</f>
        <v>29.840000000000003</v>
      </c>
      <c r="E79" s="189"/>
    </row>
    <row r="80" spans="2:6">
      <c r="B80" s="188" t="s">
        <v>321</v>
      </c>
      <c r="C80" s="184"/>
      <c r="D80" s="184">
        <f>90-66.91</f>
        <v>23.090000000000003</v>
      </c>
      <c r="E80" s="189"/>
    </row>
    <row r="81" spans="2:14">
      <c r="B81" s="188" t="s">
        <v>296</v>
      </c>
      <c r="C81" s="184">
        <v>-40.29</v>
      </c>
      <c r="D81" s="184"/>
      <c r="E81" s="189">
        <f>C81*F$69</f>
        <v>-11.87428447281</v>
      </c>
    </row>
    <row r="82" spans="2:14">
      <c r="B82" s="188" t="s">
        <v>316</v>
      </c>
      <c r="C82" s="184">
        <v>57.41</v>
      </c>
      <c r="D82" s="184"/>
      <c r="E82" s="189">
        <f>C82*F$69</f>
        <v>16.919897532490001</v>
      </c>
    </row>
    <row r="83" spans="2:14">
      <c r="B83" s="188" t="s">
        <v>345</v>
      </c>
      <c r="C83" s="184"/>
      <c r="D83" s="184">
        <f>90-56.23</f>
        <v>33.770000000000003</v>
      </c>
      <c r="E83" s="189"/>
    </row>
    <row r="84" spans="2:14">
      <c r="B84" s="188" t="s">
        <v>303</v>
      </c>
      <c r="C84" s="184"/>
      <c r="D84" s="184"/>
      <c r="E84" s="189"/>
    </row>
    <row r="85" spans="2:14">
      <c r="B85" s="188" t="s">
        <v>346</v>
      </c>
      <c r="C85" s="184">
        <v>8.73</v>
      </c>
      <c r="D85" s="184"/>
      <c r="E85" s="189">
        <f>C85*F$69</f>
        <v>2.5729089959700002</v>
      </c>
    </row>
    <row r="86" spans="2:14">
      <c r="B86" s="188" t="s">
        <v>347</v>
      </c>
      <c r="C86" s="184">
        <v>4.0999999999999996</v>
      </c>
      <c r="D86" s="184"/>
      <c r="E86" s="189">
        <f>C86*F$69</f>
        <v>1.2083535948999999</v>
      </c>
    </row>
    <row r="87" spans="2:14">
      <c r="B87" s="188" t="s">
        <v>348</v>
      </c>
      <c r="C87" s="184">
        <v>22.76</v>
      </c>
      <c r="D87" s="184"/>
      <c r="E87" s="189">
        <f>C87*F$69</f>
        <v>6.7078360536400012</v>
      </c>
    </row>
    <row r="88" spans="2:14">
      <c r="B88" s="188" t="s">
        <v>349</v>
      </c>
      <c r="C88" s="184">
        <v>11.38</v>
      </c>
      <c r="D88" s="184"/>
      <c r="E88" s="189">
        <f>C88*F$69</f>
        <v>3.3539180268200006</v>
      </c>
    </row>
    <row r="89" spans="2:14">
      <c r="B89" s="188"/>
      <c r="C89" s="184"/>
      <c r="D89" s="184"/>
      <c r="E89" s="189"/>
    </row>
    <row r="90" spans="2:14">
      <c r="B90" s="190" t="s">
        <v>350</v>
      </c>
      <c r="C90" s="238">
        <v>57.19</v>
      </c>
      <c r="D90" s="238"/>
      <c r="E90" s="191">
        <f t="shared" ref="E90" si="0">C90*F$69</f>
        <v>16.85505904691</v>
      </c>
    </row>
    <row r="91" spans="2:14" ht="15.75">
      <c r="N91" s="211"/>
    </row>
  </sheetData>
  <mergeCells count="5">
    <mergeCell ref="B2:D2"/>
    <mergeCell ref="B15:D15"/>
    <mergeCell ref="O2:Q2"/>
    <mergeCell ref="L7:M7"/>
    <mergeCell ref="L2:M2"/>
  </mergeCells>
  <hyperlinks>
    <hyperlink ref="G54" r:id="rId1" xr:uid="{5B4355F7-FB26-4F71-9F01-76F60299903E}"/>
    <hyperlink ref="E59" r:id="rId2" xr:uid="{DE1695DB-72A9-496D-8E0D-491A68893A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F838-7455-46A9-8E35-F8B5217CD8F6}">
  <sheetPr codeName="Sheet5"/>
  <dimension ref="A1:M80"/>
  <sheetViews>
    <sheetView topLeftCell="A25" zoomScaleNormal="100" workbookViewId="0">
      <selection activeCell="E54" sqref="E54"/>
    </sheetView>
  </sheetViews>
  <sheetFormatPr defaultRowHeight="15"/>
  <cols>
    <col min="1" max="1" width="40.28515625" customWidth="1"/>
    <col min="2" max="8" width="12" customWidth="1"/>
    <col min="11" max="13" width="9.28515625" style="2"/>
  </cols>
  <sheetData>
    <row r="1" spans="1:10" ht="30" customHeight="1">
      <c r="A1" s="308" t="s">
        <v>378</v>
      </c>
      <c r="B1" s="308"/>
      <c r="C1" s="308"/>
      <c r="D1" s="308"/>
      <c r="E1" s="308"/>
      <c r="F1" s="308"/>
      <c r="G1" s="2"/>
      <c r="H1" s="2"/>
      <c r="I1" s="2"/>
      <c r="J1" s="2"/>
    </row>
    <row r="2" spans="1:10">
      <c r="A2" s="2"/>
      <c r="B2" s="2"/>
      <c r="C2" s="2"/>
      <c r="D2" s="2"/>
      <c r="E2" s="2"/>
      <c r="F2" s="2"/>
      <c r="G2" s="2"/>
      <c r="H2" s="2"/>
      <c r="I2" s="2"/>
      <c r="J2" s="2"/>
    </row>
    <row r="3" spans="1:10">
      <c r="A3" s="7" t="s">
        <v>379</v>
      </c>
      <c r="B3" s="2"/>
      <c r="C3" s="2"/>
      <c r="D3" s="2"/>
      <c r="E3" s="2"/>
      <c r="F3" s="7" t="s">
        <v>1</v>
      </c>
      <c r="G3" s="2"/>
      <c r="H3" s="2"/>
      <c r="I3" s="2"/>
      <c r="J3" s="2"/>
    </row>
    <row r="4" spans="1:10" ht="45" customHeight="1">
      <c r="A4" s="312" t="s">
        <v>380</v>
      </c>
      <c r="B4" s="312"/>
      <c r="C4" s="312"/>
      <c r="D4" s="2"/>
      <c r="E4" s="311"/>
      <c r="F4" s="309"/>
      <c r="G4" s="309"/>
      <c r="H4" s="309"/>
      <c r="I4" s="309"/>
      <c r="J4" s="2"/>
    </row>
    <row r="5" spans="1:10">
      <c r="A5" s="6" t="s">
        <v>381</v>
      </c>
      <c r="B5" s="38"/>
      <c r="C5" s="2"/>
      <c r="D5" s="2"/>
      <c r="E5" s="80">
        <f>'Cover sheet'!B24</f>
        <v>8400</v>
      </c>
      <c r="F5" s="2" t="s">
        <v>382</v>
      </c>
      <c r="G5" s="2"/>
      <c r="H5" s="2"/>
      <c r="I5" s="2"/>
      <c r="J5" s="2"/>
    </row>
    <row r="6" spans="1:10">
      <c r="A6" s="6" t="s">
        <v>383</v>
      </c>
      <c r="B6" s="38"/>
      <c r="C6" s="2"/>
      <c r="D6" s="2"/>
      <c r="E6" s="81">
        <f>'Cover sheet'!B25</f>
        <v>11965</v>
      </c>
      <c r="F6" s="2" t="s">
        <v>382</v>
      </c>
      <c r="G6" s="2"/>
      <c r="H6" s="2"/>
      <c r="I6" s="2"/>
      <c r="J6" s="2"/>
    </row>
    <row r="7" spans="1:10">
      <c r="A7" s="6" t="s">
        <v>384</v>
      </c>
      <c r="B7" s="38"/>
      <c r="C7" s="2"/>
      <c r="D7" s="2"/>
      <c r="E7" s="43">
        <v>75</v>
      </c>
      <c r="F7" s="2" t="s">
        <v>382</v>
      </c>
      <c r="G7" s="2"/>
      <c r="H7" s="2"/>
      <c r="I7" s="2"/>
      <c r="J7" s="2"/>
    </row>
    <row r="8" spans="1:10">
      <c r="A8" s="6" t="s">
        <v>385</v>
      </c>
      <c r="B8" s="2"/>
      <c r="C8" s="2"/>
      <c r="D8" s="2"/>
      <c r="E8" s="1">
        <f>E7*'Cover sheet'!B20</f>
        <v>7500</v>
      </c>
      <c r="F8" s="2" t="s">
        <v>382</v>
      </c>
      <c r="G8" s="2"/>
      <c r="H8" s="2"/>
      <c r="I8" s="2"/>
      <c r="J8" s="2"/>
    </row>
    <row r="9" spans="1:10">
      <c r="A9" s="6" t="s">
        <v>386</v>
      </c>
      <c r="B9" s="2"/>
      <c r="C9" s="2"/>
      <c r="D9" s="2"/>
      <c r="E9" s="1">
        <v>5</v>
      </c>
      <c r="F9" s="2" t="s">
        <v>382</v>
      </c>
      <c r="G9" s="2"/>
      <c r="H9" s="2"/>
      <c r="I9" s="2"/>
      <c r="J9" s="2"/>
    </row>
    <row r="10" spans="1:10">
      <c r="A10" s="6" t="s">
        <v>387</v>
      </c>
      <c r="B10" s="2"/>
      <c r="C10" s="2"/>
      <c r="D10" s="2"/>
      <c r="E10" s="1">
        <f>E9*'Cover sheet'!B20</f>
        <v>500</v>
      </c>
      <c r="F10" s="2" t="s">
        <v>382</v>
      </c>
      <c r="G10" s="2"/>
      <c r="H10" s="2"/>
      <c r="I10" s="2"/>
      <c r="J10" s="2"/>
    </row>
    <row r="11" spans="1:10">
      <c r="A11" s="6" t="s">
        <v>388</v>
      </c>
      <c r="B11" s="2"/>
      <c r="C11" s="2"/>
      <c r="D11" s="2"/>
      <c r="E11" s="1">
        <v>15</v>
      </c>
      <c r="F11" s="2" t="s">
        <v>382</v>
      </c>
      <c r="G11" s="2"/>
      <c r="H11" s="2"/>
      <c r="I11" s="2"/>
      <c r="J11" s="2"/>
    </row>
    <row r="12" spans="1:10">
      <c r="A12" s="6" t="s">
        <v>389</v>
      </c>
      <c r="B12" s="2"/>
      <c r="C12" s="2"/>
      <c r="D12" s="2"/>
      <c r="E12" s="1">
        <f>E11*'Cover sheet'!B20</f>
        <v>1500</v>
      </c>
      <c r="F12" s="2" t="s">
        <v>382</v>
      </c>
      <c r="G12" s="2"/>
      <c r="H12" s="2"/>
      <c r="I12" s="2"/>
      <c r="J12" s="2"/>
    </row>
    <row r="13" spans="1:10">
      <c r="A13" s="6" t="s">
        <v>390</v>
      </c>
      <c r="B13" s="2"/>
      <c r="C13" s="2"/>
      <c r="D13" s="2"/>
      <c r="E13" s="1">
        <f>E5-E8-E10-E12</f>
        <v>-1100</v>
      </c>
      <c r="F13" s="2" t="s">
        <v>382</v>
      </c>
      <c r="G13" s="2"/>
      <c r="H13" s="2"/>
      <c r="I13" s="2"/>
      <c r="J13" s="2"/>
    </row>
    <row r="14" spans="1:10">
      <c r="A14" s="6" t="s">
        <v>391</v>
      </c>
      <c r="B14" s="2"/>
      <c r="C14" s="2"/>
      <c r="D14" s="2"/>
      <c r="E14" s="1">
        <f>E6-E8-E10-E12</f>
        <v>2465</v>
      </c>
      <c r="F14" s="2" t="s">
        <v>382</v>
      </c>
      <c r="G14" s="2"/>
      <c r="H14" s="2"/>
      <c r="I14" s="2"/>
      <c r="J14" s="2"/>
    </row>
    <row r="15" spans="1:10">
      <c r="A15" s="2" t="s">
        <v>392</v>
      </c>
      <c r="B15" s="2"/>
      <c r="C15" s="2"/>
      <c r="D15" s="2"/>
      <c r="E15" s="2"/>
      <c r="F15" s="2"/>
      <c r="G15" s="2"/>
      <c r="H15" s="2"/>
      <c r="I15" s="2"/>
      <c r="J15" s="2"/>
    </row>
    <row r="16" spans="1:10" ht="17.25">
      <c r="A16" s="2" t="s">
        <v>393</v>
      </c>
      <c r="B16" s="2"/>
      <c r="C16" s="2"/>
      <c r="D16" s="2"/>
      <c r="E16" s="1">
        <v>0.73</v>
      </c>
      <c r="F16" s="2" t="s">
        <v>394</v>
      </c>
      <c r="G16" s="2"/>
      <c r="H16" s="2"/>
      <c r="I16" s="2"/>
      <c r="J16" s="2"/>
    </row>
    <row r="17" spans="1:10" ht="17.25">
      <c r="A17" s="2" t="s">
        <v>395</v>
      </c>
      <c r="B17" s="2"/>
      <c r="C17" s="2"/>
      <c r="D17" s="2"/>
      <c r="E17" s="1">
        <v>165</v>
      </c>
      <c r="F17" s="2" t="s">
        <v>396</v>
      </c>
      <c r="G17" s="2"/>
      <c r="H17" s="2"/>
      <c r="I17" s="28"/>
      <c r="J17" s="2"/>
    </row>
    <row r="18" spans="1:10" ht="17.25">
      <c r="A18" s="2" t="s">
        <v>397</v>
      </c>
      <c r="B18" s="2"/>
      <c r="C18" s="2"/>
      <c r="D18" s="2"/>
      <c r="E18" s="1">
        <v>161</v>
      </c>
      <c r="F18" s="2" t="s">
        <v>396</v>
      </c>
      <c r="G18" s="2"/>
      <c r="H18" s="2"/>
      <c r="I18" s="2"/>
      <c r="J18" s="2"/>
    </row>
    <row r="19" spans="1:10">
      <c r="A19" s="2" t="s">
        <v>398</v>
      </c>
      <c r="B19" s="2"/>
      <c r="C19" s="2"/>
      <c r="D19" s="2"/>
      <c r="E19" s="2"/>
      <c r="F19" s="2"/>
      <c r="G19" s="2"/>
      <c r="H19" s="2"/>
      <c r="I19" s="2"/>
      <c r="J19" s="2"/>
    </row>
    <row r="20" spans="1:10" ht="17.25">
      <c r="A20" s="2" t="s">
        <v>399</v>
      </c>
      <c r="B20" s="2"/>
      <c r="C20" s="2"/>
      <c r="D20" s="2"/>
      <c r="E20" s="1">
        <f>E16*'Cover sheet'!B20</f>
        <v>73</v>
      </c>
      <c r="F20" s="2" t="s">
        <v>394</v>
      </c>
      <c r="G20" s="2"/>
      <c r="H20" s="2"/>
      <c r="I20" s="2"/>
      <c r="J20" s="2"/>
    </row>
    <row r="21" spans="1:10" ht="17.25">
      <c r="A21" s="2" t="s">
        <v>400</v>
      </c>
      <c r="B21" s="2"/>
      <c r="C21" s="2"/>
      <c r="D21" s="2"/>
      <c r="E21" s="83">
        <f>E10/E17</f>
        <v>3.0303030303030303</v>
      </c>
      <c r="F21" s="2" t="s">
        <v>394</v>
      </c>
      <c r="G21" s="2"/>
      <c r="H21" s="2"/>
      <c r="I21" s="2"/>
      <c r="J21" s="2"/>
    </row>
    <row r="22" spans="1:10" ht="17.25">
      <c r="A22" s="2" t="s">
        <v>401</v>
      </c>
      <c r="B22" s="2"/>
      <c r="C22" s="2"/>
      <c r="D22" s="2"/>
      <c r="E22" s="85">
        <f>E12/E18</f>
        <v>9.316770186335404</v>
      </c>
      <c r="F22" s="2" t="s">
        <v>394</v>
      </c>
      <c r="G22" s="2"/>
      <c r="H22" s="2"/>
      <c r="I22" s="2"/>
      <c r="J22" s="2"/>
    </row>
    <row r="23" spans="1:10">
      <c r="A23" s="2" t="s">
        <v>402</v>
      </c>
      <c r="B23" s="2"/>
      <c r="C23" s="2"/>
      <c r="D23" s="2"/>
      <c r="E23" s="87">
        <f>E14</f>
        <v>2465</v>
      </c>
      <c r="F23" s="2" t="s">
        <v>382</v>
      </c>
      <c r="G23" s="2"/>
      <c r="H23" s="2"/>
      <c r="I23" s="2"/>
      <c r="J23" s="2"/>
    </row>
    <row r="24" spans="1:10" ht="17.25">
      <c r="A24" s="2" t="s">
        <v>403</v>
      </c>
      <c r="B24" s="2"/>
      <c r="C24" s="2"/>
      <c r="D24" s="2"/>
      <c r="E24" s="86">
        <f>E23/E18</f>
        <v>15.31055900621118</v>
      </c>
      <c r="F24" s="2" t="s">
        <v>394</v>
      </c>
      <c r="G24" s="2"/>
      <c r="H24" s="2"/>
      <c r="I24" s="2"/>
      <c r="J24" s="2"/>
    </row>
    <row r="25" spans="1:10" ht="90" customHeight="1">
      <c r="A25" s="308" t="s">
        <v>404</v>
      </c>
      <c r="B25" s="308"/>
      <c r="C25" s="308"/>
      <c r="D25" s="310"/>
      <c r="E25" s="309" t="s">
        <v>405</v>
      </c>
      <c r="F25" s="309"/>
      <c r="G25" s="309"/>
      <c r="H25" s="309"/>
      <c r="I25" s="309"/>
      <c r="J25" s="2"/>
    </row>
    <row r="26" spans="1:10" ht="45" customHeight="1">
      <c r="A26" s="308" t="s">
        <v>406</v>
      </c>
      <c r="B26" s="308"/>
      <c r="C26" s="308"/>
      <c r="D26" s="310"/>
      <c r="E26" s="309" t="s">
        <v>407</v>
      </c>
      <c r="F26" s="309"/>
      <c r="G26" s="309"/>
      <c r="H26" s="309"/>
      <c r="I26" s="309"/>
      <c r="J26" s="2"/>
    </row>
    <row r="27" spans="1:10">
      <c r="A27" s="308" t="s">
        <v>408</v>
      </c>
      <c r="B27" s="308"/>
      <c r="C27" s="30"/>
      <c r="D27" s="30"/>
      <c r="E27" s="32"/>
      <c r="F27" s="30" t="s">
        <v>331</v>
      </c>
      <c r="G27" s="30"/>
      <c r="H27" s="30"/>
      <c r="I27" s="30"/>
      <c r="J27" s="2"/>
    </row>
    <row r="28" spans="1:10">
      <c r="A28" s="308" t="s">
        <v>409</v>
      </c>
      <c r="B28" s="308"/>
      <c r="C28" s="30"/>
      <c r="D28" s="30"/>
      <c r="E28" s="30"/>
      <c r="F28" s="30"/>
      <c r="G28" s="30"/>
      <c r="H28" s="30"/>
      <c r="I28" s="30"/>
      <c r="J28" s="2"/>
    </row>
    <row r="29" spans="1:10" ht="45" customHeight="1">
      <c r="A29" s="30" t="s">
        <v>410</v>
      </c>
      <c r="B29" s="30"/>
      <c r="C29" s="30"/>
      <c r="D29" s="30"/>
      <c r="E29" s="32"/>
      <c r="F29" s="30" t="s">
        <v>394</v>
      </c>
      <c r="G29" s="30"/>
      <c r="H29" s="30"/>
      <c r="I29" s="30"/>
      <c r="J29" s="2"/>
    </row>
    <row r="30" spans="1:10" ht="45" customHeight="1">
      <c r="A30" s="30" t="s">
        <v>411</v>
      </c>
      <c r="B30" s="30"/>
      <c r="C30" s="30"/>
      <c r="D30" s="30"/>
      <c r="E30" s="32"/>
      <c r="F30" s="30" t="s">
        <v>5</v>
      </c>
      <c r="G30" s="30"/>
      <c r="H30" s="30"/>
      <c r="I30" s="30"/>
      <c r="J30" s="2"/>
    </row>
    <row r="31" spans="1:10" ht="45" customHeight="1">
      <c r="A31" s="30" t="s">
        <v>412</v>
      </c>
      <c r="B31" s="30"/>
      <c r="C31" s="30"/>
      <c r="D31" s="30"/>
      <c r="E31" s="32"/>
      <c r="F31" s="30" t="s">
        <v>5</v>
      </c>
      <c r="G31" s="30"/>
      <c r="H31" s="30"/>
      <c r="I31" s="30"/>
      <c r="J31" s="2"/>
    </row>
    <row r="32" spans="1:10" ht="45" customHeight="1">
      <c r="A32" s="30" t="s">
        <v>413</v>
      </c>
      <c r="B32" s="30"/>
      <c r="C32" s="30"/>
      <c r="D32" s="30"/>
      <c r="E32" s="32"/>
      <c r="F32" s="30" t="s">
        <v>5</v>
      </c>
      <c r="G32" s="30"/>
      <c r="H32" s="30"/>
      <c r="I32" s="30"/>
      <c r="J32" s="2"/>
    </row>
    <row r="33" spans="1:10" ht="45" customHeight="1">
      <c r="A33" s="30" t="s">
        <v>414</v>
      </c>
      <c r="B33" s="30"/>
      <c r="C33" s="30"/>
      <c r="D33" s="30"/>
      <c r="E33" s="32"/>
      <c r="F33" s="30" t="s">
        <v>5</v>
      </c>
      <c r="G33" s="30"/>
      <c r="H33" s="30"/>
      <c r="I33" s="30"/>
      <c r="J33" s="2"/>
    </row>
    <row r="34" spans="1:10" ht="45" customHeight="1">
      <c r="A34" s="30" t="s">
        <v>415</v>
      </c>
      <c r="B34" s="30"/>
      <c r="C34" s="30"/>
      <c r="D34" s="30"/>
      <c r="E34" s="32"/>
      <c r="F34" s="30" t="s">
        <v>5</v>
      </c>
      <c r="G34" s="30"/>
      <c r="H34" s="30"/>
      <c r="I34" s="30"/>
      <c r="J34" s="2"/>
    </row>
    <row r="35" spans="1:10" ht="45" customHeight="1">
      <c r="A35" s="30" t="s">
        <v>416</v>
      </c>
      <c r="B35" s="30"/>
      <c r="C35" s="30"/>
      <c r="D35" s="30"/>
      <c r="E35" s="32"/>
      <c r="F35" s="30" t="s">
        <v>331</v>
      </c>
      <c r="G35" s="30"/>
      <c r="H35" s="30"/>
      <c r="I35" s="30"/>
      <c r="J35" s="2"/>
    </row>
    <row r="36" spans="1:10" ht="45" customHeight="1">
      <c r="A36" s="30" t="s">
        <v>417</v>
      </c>
      <c r="B36" s="30"/>
      <c r="C36" s="30"/>
      <c r="D36" s="30"/>
      <c r="E36" s="32"/>
      <c r="F36" s="30" t="s">
        <v>331</v>
      </c>
      <c r="G36" s="30"/>
      <c r="H36" s="30"/>
      <c r="I36" s="30"/>
      <c r="J36" s="2"/>
    </row>
    <row r="37" spans="1:10">
      <c r="A37" s="2"/>
      <c r="B37" s="2"/>
      <c r="C37" s="2"/>
      <c r="D37" s="2"/>
      <c r="E37" s="2"/>
      <c r="F37" s="2"/>
      <c r="G37" s="2"/>
      <c r="H37" s="2"/>
      <c r="I37" s="2"/>
      <c r="J37" s="2"/>
    </row>
    <row r="38" spans="1:10">
      <c r="A38" s="7" t="s">
        <v>418</v>
      </c>
      <c r="B38" s="2"/>
      <c r="C38" s="2"/>
      <c r="D38" s="2"/>
      <c r="E38" s="2"/>
      <c r="F38" s="2"/>
      <c r="G38" s="2"/>
      <c r="H38" s="2"/>
      <c r="I38" s="2"/>
      <c r="J38" s="2"/>
    </row>
    <row r="39" spans="1:10">
      <c r="A39" s="37" t="s">
        <v>419</v>
      </c>
      <c r="B39" s="2"/>
      <c r="C39" s="2"/>
      <c r="D39" s="2"/>
      <c r="E39" s="2"/>
      <c r="F39" s="7" t="s">
        <v>1</v>
      </c>
      <c r="G39" s="2"/>
      <c r="H39" s="2"/>
      <c r="I39" s="2"/>
      <c r="J39" s="2"/>
    </row>
    <row r="40" spans="1:10">
      <c r="A40" s="2" t="s">
        <v>420</v>
      </c>
      <c r="B40" s="2"/>
      <c r="C40" s="2"/>
      <c r="D40" s="2"/>
      <c r="E40" s="1">
        <v>0.38</v>
      </c>
      <c r="F40" s="2" t="s">
        <v>5</v>
      </c>
      <c r="G40" s="2"/>
      <c r="H40" s="2"/>
      <c r="I40" s="2"/>
      <c r="J40" s="2"/>
    </row>
    <row r="41" spans="1:10">
      <c r="A41" s="2" t="s">
        <v>421</v>
      </c>
      <c r="B41" s="2"/>
      <c r="C41" s="2"/>
      <c r="D41" s="2"/>
      <c r="E41" s="1">
        <v>0.51</v>
      </c>
      <c r="F41" s="2" t="s">
        <v>5</v>
      </c>
      <c r="G41" s="2"/>
      <c r="H41" s="2"/>
      <c r="I41" s="2"/>
      <c r="J41" s="2"/>
    </row>
    <row r="42" spans="1:10" ht="18">
      <c r="A42" s="2" t="s">
        <v>422</v>
      </c>
      <c r="B42" s="2"/>
      <c r="C42" s="2"/>
      <c r="D42" s="2"/>
      <c r="E42" s="1">
        <f>5*0.43+(5+1+1)*0.05+1*E40+2*0.05</f>
        <v>2.98</v>
      </c>
      <c r="F42" s="2" t="s">
        <v>5</v>
      </c>
      <c r="G42" s="2"/>
      <c r="H42" s="2"/>
      <c r="I42" s="2"/>
      <c r="J42" s="2"/>
    </row>
    <row r="43" spans="1:10" ht="18">
      <c r="A43" s="36" t="s">
        <v>423</v>
      </c>
      <c r="B43" s="36"/>
      <c r="C43" s="2"/>
      <c r="D43" s="2"/>
      <c r="E43" s="1">
        <v>3.35</v>
      </c>
      <c r="F43" s="2" t="s">
        <v>5</v>
      </c>
      <c r="G43" s="2"/>
      <c r="H43" s="2"/>
      <c r="I43" s="2"/>
      <c r="J43" s="2"/>
    </row>
    <row r="44" spans="1:10" ht="18">
      <c r="A44" s="36" t="s">
        <v>424</v>
      </c>
      <c r="B44" s="36"/>
      <c r="C44" s="2"/>
      <c r="D44" s="2"/>
      <c r="E44" s="1">
        <f>E43+0.25</f>
        <v>3.6</v>
      </c>
      <c r="F44" s="2" t="s">
        <v>5</v>
      </c>
      <c r="G44" s="2"/>
      <c r="H44" s="2"/>
      <c r="I44" s="2"/>
      <c r="J44" s="2"/>
    </row>
    <row r="45" spans="1:10" ht="33" customHeight="1">
      <c r="A45" s="308" t="s">
        <v>425</v>
      </c>
      <c r="B45" s="308"/>
      <c r="C45" s="308"/>
      <c r="D45" s="310"/>
      <c r="E45" s="1">
        <f>E44</f>
        <v>3.6</v>
      </c>
      <c r="F45" s="2" t="s">
        <v>5</v>
      </c>
      <c r="G45" s="2"/>
      <c r="H45" s="2"/>
      <c r="I45" s="2"/>
      <c r="J45" s="2"/>
    </row>
    <row r="46" spans="1:10" ht="33" customHeight="1">
      <c r="A46" s="308" t="s">
        <v>426</v>
      </c>
      <c r="B46" s="308"/>
      <c r="C46" s="308"/>
      <c r="D46" s="310"/>
      <c r="E46" s="1">
        <f>E44</f>
        <v>3.6</v>
      </c>
      <c r="F46" s="2" t="s">
        <v>5</v>
      </c>
      <c r="G46" s="2"/>
      <c r="H46" s="2"/>
      <c r="I46" s="2"/>
      <c r="J46" s="2"/>
    </row>
    <row r="47" spans="1:10">
      <c r="A47" s="308" t="s">
        <v>427</v>
      </c>
      <c r="B47" s="308"/>
      <c r="C47" s="308"/>
      <c r="D47" s="310"/>
      <c r="E47" s="84">
        <f>PI()*E44</f>
        <v>11.309733552923255</v>
      </c>
      <c r="F47" s="2" t="s">
        <v>5</v>
      </c>
      <c r="G47" s="2"/>
      <c r="H47" s="2"/>
      <c r="I47" s="2"/>
      <c r="J47" s="2"/>
    </row>
    <row r="48" spans="1:10">
      <c r="A48" s="37" t="s">
        <v>428</v>
      </c>
      <c r="B48" s="2"/>
      <c r="C48" s="2"/>
      <c r="D48" s="2"/>
      <c r="E48" s="2"/>
      <c r="F48" s="2"/>
      <c r="G48" s="2"/>
      <c r="H48" s="2"/>
      <c r="I48" s="2"/>
      <c r="J48" s="2"/>
    </row>
    <row r="49" spans="1:10">
      <c r="A49" s="37" t="s">
        <v>429</v>
      </c>
      <c r="B49" s="2"/>
      <c r="C49" s="2"/>
      <c r="D49" s="2"/>
      <c r="E49" s="2"/>
      <c r="F49" s="2"/>
      <c r="G49" s="2"/>
      <c r="H49" s="2"/>
      <c r="I49" s="2"/>
      <c r="J49" s="2"/>
    </row>
    <row r="50" spans="1:10">
      <c r="A50" s="2"/>
      <c r="B50" s="2"/>
      <c r="C50" s="2"/>
      <c r="D50" s="2"/>
      <c r="E50" s="2"/>
      <c r="F50" s="2"/>
      <c r="G50" s="2"/>
      <c r="H50" s="2"/>
      <c r="I50" s="2"/>
      <c r="J50" s="2"/>
    </row>
    <row r="51" spans="1:10">
      <c r="A51" s="29" t="s">
        <v>430</v>
      </c>
      <c r="B51" s="2"/>
      <c r="C51" s="2"/>
      <c r="D51" s="2"/>
      <c r="E51" s="2"/>
      <c r="F51" s="2"/>
      <c r="G51" s="2"/>
      <c r="H51" s="2"/>
      <c r="I51" s="2"/>
      <c r="J51" s="2"/>
    </row>
    <row r="52" spans="1:10">
      <c r="A52" s="7" t="s">
        <v>431</v>
      </c>
      <c r="B52" s="2"/>
      <c r="C52" s="2"/>
      <c r="D52" s="2"/>
      <c r="E52" s="2"/>
      <c r="F52" s="2"/>
      <c r="G52" s="2"/>
      <c r="H52" s="2"/>
      <c r="I52" s="2"/>
      <c r="J52" s="2"/>
    </row>
    <row r="53" spans="1:10">
      <c r="A53" s="2" t="s">
        <v>432</v>
      </c>
      <c r="B53" s="2"/>
      <c r="C53" s="2"/>
      <c r="D53" s="2"/>
      <c r="E53" s="2"/>
      <c r="F53" s="2"/>
      <c r="G53" s="2"/>
      <c r="H53" s="2"/>
      <c r="I53" s="2"/>
      <c r="J53" s="2"/>
    </row>
    <row r="54" spans="1:10" ht="18">
      <c r="A54" s="2" t="s">
        <v>433</v>
      </c>
      <c r="B54" s="2"/>
      <c r="C54" s="2"/>
      <c r="D54" s="2"/>
      <c r="E54" s="1">
        <v>3.8</v>
      </c>
      <c r="F54" s="2" t="s">
        <v>5</v>
      </c>
      <c r="G54" s="2"/>
      <c r="H54" s="2"/>
      <c r="I54" s="2"/>
      <c r="J54" s="2"/>
    </row>
    <row r="55" spans="1:10" ht="18">
      <c r="A55" s="2" t="s">
        <v>434</v>
      </c>
      <c r="B55" s="2"/>
      <c r="C55" s="2"/>
      <c r="D55" s="2"/>
      <c r="E55" s="1">
        <v>2</v>
      </c>
      <c r="F55" s="2" t="s">
        <v>331</v>
      </c>
      <c r="G55" s="2"/>
      <c r="H55" s="2"/>
      <c r="I55" s="2"/>
      <c r="J55" s="2"/>
    </row>
    <row r="56" spans="1:10" ht="18">
      <c r="A56" s="2" t="s">
        <v>435</v>
      </c>
      <c r="B56" s="2"/>
      <c r="C56" s="2"/>
      <c r="D56" s="2"/>
      <c r="E56" s="1">
        <v>3.6</v>
      </c>
      <c r="F56" s="2" t="s">
        <v>331</v>
      </c>
      <c r="G56" s="2"/>
      <c r="H56" s="2"/>
      <c r="I56" s="2"/>
      <c r="J56" s="2"/>
    </row>
    <row r="57" spans="1:10" ht="18">
      <c r="A57" s="2" t="s">
        <v>436</v>
      </c>
      <c r="B57" s="2"/>
      <c r="C57" s="2"/>
      <c r="D57" s="2"/>
      <c r="E57" s="25">
        <v>0.5</v>
      </c>
      <c r="F57" s="2" t="s">
        <v>331</v>
      </c>
      <c r="G57" s="2"/>
      <c r="H57" s="2"/>
      <c r="I57" s="2"/>
      <c r="J57" s="2"/>
    </row>
    <row r="58" spans="1:10" ht="60" customHeight="1">
      <c r="A58" s="31" t="s">
        <v>437</v>
      </c>
      <c r="B58" s="2"/>
      <c r="C58" s="2"/>
      <c r="D58" s="2"/>
      <c r="E58" s="309" t="s">
        <v>438</v>
      </c>
      <c r="F58" s="309"/>
      <c r="G58" s="309"/>
      <c r="H58" s="309"/>
      <c r="I58" s="309"/>
      <c r="J58" s="2"/>
    </row>
    <row r="59" spans="1:10">
      <c r="A59" s="37" t="s">
        <v>439</v>
      </c>
      <c r="B59" s="2"/>
      <c r="C59" s="2"/>
      <c r="D59" s="2"/>
      <c r="E59" s="2"/>
      <c r="F59" s="2"/>
      <c r="G59" s="2"/>
      <c r="H59" s="2"/>
      <c r="I59" s="2"/>
      <c r="J59" s="2"/>
    </row>
    <row r="60" spans="1:10" ht="18">
      <c r="A60" s="2" t="s">
        <v>440</v>
      </c>
      <c r="B60" s="2"/>
      <c r="C60" s="2"/>
      <c r="D60" s="2"/>
      <c r="E60" s="84">
        <f>1.17*((134)/(5))</f>
        <v>31.355999999999998</v>
      </c>
      <c r="F60" s="2" t="s">
        <v>5</v>
      </c>
      <c r="G60" s="2"/>
      <c r="H60" s="2"/>
      <c r="I60" s="2"/>
      <c r="J60" s="2"/>
    </row>
    <row r="61" spans="1:10" ht="18">
      <c r="A61" s="2" t="s">
        <v>441</v>
      </c>
      <c r="B61" s="2"/>
      <c r="C61" s="2"/>
      <c r="D61" s="2"/>
      <c r="E61" s="84">
        <v>36.466000000000001</v>
      </c>
      <c r="F61" s="2" t="s">
        <v>5</v>
      </c>
      <c r="G61" s="2"/>
      <c r="H61" s="2"/>
      <c r="I61" s="2"/>
      <c r="J61" s="2"/>
    </row>
    <row r="62" spans="1:10">
      <c r="A62" s="2"/>
      <c r="B62" s="2"/>
      <c r="C62" s="2"/>
      <c r="D62" s="2"/>
      <c r="E62" s="2"/>
      <c r="F62" s="2"/>
      <c r="G62" s="2"/>
      <c r="H62" s="2"/>
      <c r="I62" s="2"/>
      <c r="J62" s="2"/>
    </row>
    <row r="63" spans="1:10">
      <c r="A63" s="7" t="s">
        <v>442</v>
      </c>
      <c r="B63" s="2"/>
      <c r="C63" s="2"/>
      <c r="D63" s="2"/>
      <c r="E63" s="2"/>
      <c r="F63" s="2"/>
      <c r="G63" s="2"/>
      <c r="H63" s="2"/>
      <c r="I63" s="2"/>
      <c r="J63" s="2"/>
    </row>
    <row r="64" spans="1:10">
      <c r="A64" s="2" t="s">
        <v>443</v>
      </c>
      <c r="B64" s="2"/>
      <c r="C64" s="2"/>
      <c r="D64" s="2"/>
      <c r="E64" s="1">
        <v>20</v>
      </c>
      <c r="F64" s="2" t="s">
        <v>444</v>
      </c>
      <c r="G64" s="2"/>
      <c r="H64" s="2"/>
      <c r="I64" s="2"/>
      <c r="J64" s="2"/>
    </row>
    <row r="65" spans="1:10">
      <c r="A65" s="2" t="s">
        <v>445</v>
      </c>
      <c r="B65" s="2"/>
      <c r="C65" s="2"/>
      <c r="D65" s="2"/>
      <c r="E65" s="25">
        <v>20</v>
      </c>
      <c r="F65" s="2" t="s">
        <v>444</v>
      </c>
      <c r="G65" s="2"/>
      <c r="H65" s="2"/>
      <c r="I65" s="2"/>
      <c r="J65" s="2"/>
    </row>
    <row r="66" spans="1:10" ht="60" customHeight="1">
      <c r="A66" s="35" t="s">
        <v>446</v>
      </c>
      <c r="B66" s="2"/>
      <c r="C66" s="2"/>
      <c r="D66" s="2"/>
      <c r="E66" s="309" t="s">
        <v>447</v>
      </c>
      <c r="F66" s="309"/>
      <c r="G66" s="309"/>
      <c r="H66" s="309"/>
      <c r="I66" s="309"/>
      <c r="J66" s="2"/>
    </row>
    <row r="67" spans="1:10">
      <c r="A67" s="2" t="s">
        <v>448</v>
      </c>
      <c r="B67" s="2"/>
      <c r="C67" s="2"/>
      <c r="D67" s="2"/>
      <c r="E67" s="79">
        <v>6</v>
      </c>
      <c r="F67" s="2" t="s">
        <v>444</v>
      </c>
      <c r="G67" s="2"/>
      <c r="H67" s="2"/>
      <c r="I67" s="2"/>
      <c r="J67" s="2"/>
    </row>
    <row r="68" spans="1:10" ht="60" customHeight="1">
      <c r="A68" s="35" t="s">
        <v>446</v>
      </c>
      <c r="B68" s="2"/>
      <c r="C68" s="2"/>
      <c r="D68" s="2"/>
      <c r="E68" s="313" t="s">
        <v>449</v>
      </c>
      <c r="F68" s="314"/>
      <c r="G68" s="314"/>
      <c r="H68" s="314"/>
      <c r="I68" s="315"/>
      <c r="J68" s="2"/>
    </row>
    <row r="69" spans="1:10">
      <c r="A69" s="37" t="s">
        <v>450</v>
      </c>
      <c r="B69" s="2"/>
      <c r="C69" s="2"/>
      <c r="D69" s="2"/>
      <c r="E69" s="2"/>
      <c r="F69" s="2"/>
      <c r="G69" s="2"/>
      <c r="H69" s="2"/>
      <c r="I69" s="2"/>
      <c r="J69" s="2"/>
    </row>
    <row r="70" spans="1:10">
      <c r="A70" s="37"/>
      <c r="B70" s="2"/>
      <c r="C70" s="2"/>
      <c r="D70" s="2"/>
      <c r="E70" s="2"/>
      <c r="F70" s="2"/>
      <c r="G70" s="2"/>
      <c r="H70" s="2"/>
      <c r="I70" s="2"/>
      <c r="J70" s="2"/>
    </row>
    <row r="71" spans="1:10">
      <c r="A71" s="2" t="s">
        <v>451</v>
      </c>
      <c r="B71" s="2"/>
      <c r="C71" s="2"/>
      <c r="D71" s="2"/>
      <c r="E71" s="2"/>
      <c r="F71" s="2"/>
      <c r="G71" s="2"/>
      <c r="H71" s="2"/>
      <c r="I71" s="2"/>
      <c r="J71" s="2"/>
    </row>
    <row r="72" spans="1:10">
      <c r="A72" s="2"/>
      <c r="B72" s="7" t="s">
        <v>452</v>
      </c>
      <c r="C72" s="7" t="s">
        <v>453</v>
      </c>
      <c r="D72" s="7" t="s">
        <v>454</v>
      </c>
      <c r="E72" s="7" t="s">
        <v>455</v>
      </c>
      <c r="F72" s="7" t="s">
        <v>456</v>
      </c>
      <c r="G72" s="7" t="s">
        <v>457</v>
      </c>
      <c r="H72" s="7" t="s">
        <v>458</v>
      </c>
      <c r="I72" s="7" t="s">
        <v>459</v>
      </c>
      <c r="J72" s="2"/>
    </row>
    <row r="73" spans="1:10">
      <c r="A73" s="2" t="s">
        <v>460</v>
      </c>
      <c r="B73" s="1"/>
      <c r="C73" s="1"/>
      <c r="D73" s="1"/>
      <c r="E73" s="25">
        <v>2</v>
      </c>
      <c r="F73" s="25"/>
      <c r="G73" s="25">
        <v>1</v>
      </c>
      <c r="H73" s="25"/>
      <c r="I73" s="2">
        <f>SUM(B73:H73)</f>
        <v>3</v>
      </c>
      <c r="J73" s="2"/>
    </row>
    <row r="74" spans="1:10" ht="60" customHeight="1">
      <c r="A74" s="35" t="s">
        <v>446</v>
      </c>
      <c r="B74" s="2"/>
      <c r="C74" s="2"/>
      <c r="D74" s="2"/>
      <c r="E74" s="309" t="s">
        <v>461</v>
      </c>
      <c r="F74" s="309"/>
      <c r="G74" s="309"/>
      <c r="H74" s="309"/>
      <c r="I74" s="309"/>
      <c r="J74" s="2"/>
    </row>
    <row r="75" spans="1:10">
      <c r="A75" s="2"/>
      <c r="B75" s="2"/>
      <c r="C75" s="2"/>
      <c r="D75" s="2"/>
      <c r="E75" s="2"/>
      <c r="F75" s="2"/>
      <c r="G75" s="2"/>
      <c r="H75" s="2"/>
      <c r="I75" s="2"/>
      <c r="J75" s="2"/>
    </row>
    <row r="76" spans="1:10">
      <c r="A76" s="29" t="s">
        <v>462</v>
      </c>
      <c r="B76" s="2"/>
      <c r="C76" s="2"/>
      <c r="D76" s="2"/>
      <c r="E76" s="2"/>
      <c r="F76" s="2"/>
      <c r="G76" s="2"/>
      <c r="H76" s="2"/>
      <c r="I76" s="2"/>
      <c r="J76" s="2"/>
    </row>
    <row r="77" spans="1:10">
      <c r="A77" s="2"/>
      <c r="B77" s="2"/>
      <c r="C77" s="2"/>
      <c r="D77" s="2"/>
      <c r="E77" s="2"/>
      <c r="F77" s="2"/>
      <c r="G77" s="2"/>
      <c r="H77" s="2"/>
      <c r="I77" s="2"/>
      <c r="J77" s="2"/>
    </row>
    <row r="78" spans="1:10">
      <c r="A78" s="7" t="s">
        <v>47</v>
      </c>
      <c r="B78" s="2"/>
      <c r="C78" s="2"/>
      <c r="D78" s="2"/>
      <c r="E78" s="2"/>
      <c r="F78" s="2"/>
      <c r="G78" s="2"/>
      <c r="H78" s="2"/>
      <c r="I78" s="2"/>
      <c r="J78" s="2"/>
    </row>
    <row r="79" spans="1:10">
      <c r="A79" s="2"/>
      <c r="B79" s="2"/>
      <c r="C79" s="2"/>
      <c r="D79" s="2"/>
      <c r="E79" s="2"/>
      <c r="F79" s="2"/>
      <c r="G79" s="2"/>
      <c r="H79" s="2"/>
      <c r="I79" s="2"/>
      <c r="J79" s="2"/>
    </row>
    <row r="80" spans="1:10">
      <c r="A80" s="2"/>
      <c r="B80" s="2"/>
      <c r="C80" s="2"/>
      <c r="D80" s="2"/>
      <c r="E80" s="2"/>
      <c r="F80" s="2"/>
      <c r="G80" s="2"/>
      <c r="H80" s="2"/>
      <c r="I80" s="2"/>
      <c r="J80" s="2"/>
    </row>
  </sheetData>
  <sheetProtection algorithmName="SHA-512" hashValue="16FE5J4RupoEGm9uTk9qnZdG1BKYDuzLyQyNIP2fcqpc8YDcLOwyeVKOQK54YE/jfr4EUwNW1J/ysnunpNq+Rw==" saltValue="0/2XgHM0+Y9stAzQ6rBkSg==" spinCount="100000" sheet="1" objects="1" scenarios="1" formatCells="0"/>
  <mergeCells count="16">
    <mergeCell ref="E74:I74"/>
    <mergeCell ref="A27:B27"/>
    <mergeCell ref="A28:B28"/>
    <mergeCell ref="E4:I4"/>
    <mergeCell ref="A4:C4"/>
    <mergeCell ref="A45:D45"/>
    <mergeCell ref="A46:D46"/>
    <mergeCell ref="A47:D47"/>
    <mergeCell ref="E58:I58"/>
    <mergeCell ref="E66:I66"/>
    <mergeCell ref="E68:I68"/>
    <mergeCell ref="A1:F1"/>
    <mergeCell ref="E25:I25"/>
    <mergeCell ref="E26:I26"/>
    <mergeCell ref="A25:D25"/>
    <mergeCell ref="A26:D26"/>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64C7C-F791-4C4D-88BF-F5D31A4833FB}">
  <sheetPr codeName="Sheet1"/>
  <dimension ref="A1:F51"/>
  <sheetViews>
    <sheetView zoomScale="70" zoomScaleNormal="70" workbookViewId="0">
      <selection activeCell="J22" sqref="J22"/>
    </sheetView>
  </sheetViews>
  <sheetFormatPr defaultRowHeight="15"/>
  <cols>
    <col min="1" max="1" width="31.7109375" bestFit="1" customWidth="1"/>
    <col min="2" max="2" width="15.7109375" customWidth="1"/>
    <col min="3" max="3" width="13.42578125" bestFit="1" customWidth="1"/>
    <col min="4" max="4" width="13.7109375" bestFit="1" customWidth="1"/>
    <col min="5" max="5" width="19.7109375" customWidth="1"/>
  </cols>
  <sheetData>
    <row r="1" spans="1:6" ht="18.75">
      <c r="A1" s="8" t="s">
        <v>463</v>
      </c>
      <c r="B1" s="8" t="s">
        <v>464</v>
      </c>
      <c r="C1" s="2"/>
      <c r="D1" s="2"/>
      <c r="E1" s="2"/>
      <c r="F1" s="2"/>
    </row>
    <row r="2" spans="1:6" ht="18.75">
      <c r="A2" s="8"/>
      <c r="B2" s="8" t="s">
        <v>465</v>
      </c>
      <c r="C2" s="2"/>
      <c r="D2" s="2"/>
      <c r="E2" s="2"/>
      <c r="F2" s="2"/>
    </row>
    <row r="3" spans="1:6">
      <c r="A3" s="2"/>
      <c r="B3" s="2"/>
      <c r="C3" s="2"/>
      <c r="D3" s="2"/>
      <c r="E3" s="2"/>
      <c r="F3" s="2"/>
    </row>
    <row r="4" spans="1:6" ht="30" customHeight="1">
      <c r="A4" s="7" t="s">
        <v>466</v>
      </c>
      <c r="B4" s="316" t="s">
        <v>467</v>
      </c>
      <c r="C4" s="316"/>
      <c r="D4" s="316"/>
      <c r="E4" s="316"/>
      <c r="F4" s="2"/>
    </row>
    <row r="5" spans="1:6">
      <c r="A5" s="2"/>
      <c r="B5" s="2" t="s">
        <v>468</v>
      </c>
      <c r="C5" s="2" t="s">
        <v>469</v>
      </c>
      <c r="D5" s="2"/>
      <c r="E5" s="2"/>
      <c r="F5" s="2"/>
    </row>
    <row r="6" spans="1:6">
      <c r="A6" s="2"/>
      <c r="B6" s="2" t="s">
        <v>470</v>
      </c>
      <c r="C6" s="2" t="s">
        <v>471</v>
      </c>
      <c r="D6" s="2"/>
      <c r="E6" s="2"/>
      <c r="F6" s="2"/>
    </row>
    <row r="7" spans="1:6">
      <c r="A7" s="2"/>
      <c r="B7" s="2"/>
      <c r="C7" s="2"/>
      <c r="D7" s="2"/>
      <c r="E7" s="2"/>
      <c r="F7" s="2"/>
    </row>
    <row r="8" spans="1:6">
      <c r="A8" s="7" t="s">
        <v>472</v>
      </c>
      <c r="B8" s="319" t="s">
        <v>473</v>
      </c>
      <c r="C8" s="319"/>
      <c r="D8" s="319"/>
      <c r="E8" s="319"/>
      <c r="F8" s="2"/>
    </row>
    <row r="9" spans="1:6" ht="45" customHeight="1">
      <c r="A9" s="2"/>
      <c r="B9" s="320" t="s">
        <v>474</v>
      </c>
      <c r="C9" s="320"/>
      <c r="D9" s="320"/>
      <c r="E9" s="320"/>
      <c r="F9" s="2"/>
    </row>
    <row r="10" spans="1:6" ht="28.5" customHeight="1">
      <c r="A10" s="2"/>
      <c r="B10" s="320" t="s">
        <v>475</v>
      </c>
      <c r="C10" s="320"/>
      <c r="D10" s="320"/>
      <c r="E10" s="320"/>
      <c r="F10" s="2"/>
    </row>
    <row r="11" spans="1:6">
      <c r="A11" s="2"/>
      <c r="B11" s="2"/>
      <c r="C11" s="2"/>
      <c r="D11" s="2"/>
      <c r="E11" s="2"/>
      <c r="F11" s="2"/>
    </row>
    <row r="12" spans="1:6">
      <c r="A12" s="7" t="s">
        <v>476</v>
      </c>
      <c r="B12" s="9"/>
      <c r="C12" s="2"/>
      <c r="D12" s="2"/>
      <c r="E12" s="2"/>
      <c r="F12" s="2"/>
    </row>
    <row r="13" spans="1:6">
      <c r="A13" s="7" t="s">
        <v>477</v>
      </c>
      <c r="B13" s="9"/>
      <c r="C13" s="2"/>
      <c r="D13" s="2"/>
      <c r="E13" s="2"/>
      <c r="F13" s="2"/>
    </row>
    <row r="14" spans="1:6">
      <c r="A14" s="7" t="s">
        <v>478</v>
      </c>
      <c r="B14" s="1"/>
      <c r="C14" s="2"/>
      <c r="D14" s="2"/>
      <c r="E14" s="2"/>
      <c r="F14" s="2"/>
    </row>
    <row r="15" spans="1:6">
      <c r="A15" s="7" t="s">
        <v>479</v>
      </c>
      <c r="B15" s="1"/>
      <c r="C15" s="2"/>
      <c r="D15" s="2"/>
      <c r="E15" s="2"/>
      <c r="F15" s="2"/>
    </row>
    <row r="16" spans="1:6">
      <c r="A16" s="7" t="s">
        <v>480</v>
      </c>
      <c r="B16" s="10"/>
      <c r="C16" s="2"/>
      <c r="D16" s="2"/>
      <c r="E16" s="2"/>
      <c r="F16" s="2"/>
    </row>
    <row r="17" spans="1:6">
      <c r="A17" s="7" t="s">
        <v>481</v>
      </c>
      <c r="B17" s="11"/>
      <c r="C17" s="2"/>
      <c r="D17" s="2"/>
      <c r="E17" s="2"/>
      <c r="F17" s="2"/>
    </row>
    <row r="18" spans="1:6">
      <c r="A18" s="2"/>
      <c r="B18" s="2"/>
      <c r="C18" s="2"/>
      <c r="D18" s="2"/>
      <c r="E18" s="2"/>
      <c r="F18" s="2"/>
    </row>
    <row r="19" spans="1:6">
      <c r="A19" s="7" t="s">
        <v>482</v>
      </c>
      <c r="B19" s="2" t="s">
        <v>483</v>
      </c>
      <c r="C19" s="2"/>
      <c r="D19" s="2"/>
      <c r="E19" s="2"/>
      <c r="F19" s="2" t="s">
        <v>1</v>
      </c>
    </row>
    <row r="20" spans="1:6">
      <c r="A20" s="2" t="s">
        <v>484</v>
      </c>
      <c r="B20" s="177">
        <v>100</v>
      </c>
      <c r="C20" s="2"/>
      <c r="D20" s="2"/>
      <c r="E20" s="2"/>
      <c r="F20" s="2" t="s">
        <v>331</v>
      </c>
    </row>
    <row r="21" spans="1:6">
      <c r="A21" s="2" t="s">
        <v>485</v>
      </c>
      <c r="B21" s="177">
        <v>3056</v>
      </c>
      <c r="C21" s="2"/>
      <c r="D21" s="2"/>
      <c r="E21" s="2"/>
      <c r="F21" s="2" t="s">
        <v>486</v>
      </c>
    </row>
    <row r="22" spans="1:6">
      <c r="A22" s="2" t="s">
        <v>487</v>
      </c>
      <c r="B22" s="1">
        <f>76+8</f>
        <v>84</v>
      </c>
      <c r="C22" s="2"/>
      <c r="D22" s="2"/>
      <c r="E22" s="2"/>
      <c r="F22" s="2" t="s">
        <v>382</v>
      </c>
    </row>
    <row r="23" spans="1:6">
      <c r="A23" s="2" t="s">
        <v>488</v>
      </c>
      <c r="B23" s="1">
        <v>78.739999999999995</v>
      </c>
      <c r="C23" s="2"/>
      <c r="D23" s="2"/>
      <c r="E23" s="2"/>
      <c r="F23" s="2" t="s">
        <v>489</v>
      </c>
    </row>
    <row r="24" spans="1:6">
      <c r="A24" s="6" t="s">
        <v>490</v>
      </c>
      <c r="B24" s="2">
        <f>B20*B22</f>
        <v>8400</v>
      </c>
      <c r="C24" s="2"/>
      <c r="D24" s="2"/>
      <c r="E24" s="2"/>
      <c r="F24" s="2" t="s">
        <v>382</v>
      </c>
    </row>
    <row r="25" spans="1:6">
      <c r="A25" s="2" t="s">
        <v>491</v>
      </c>
      <c r="B25" s="177">
        <v>11965</v>
      </c>
      <c r="C25" s="2"/>
      <c r="D25" s="2"/>
      <c r="E25" s="2"/>
      <c r="F25" s="2" t="s">
        <v>382</v>
      </c>
    </row>
    <row r="26" spans="1:6">
      <c r="A26" s="2" t="s">
        <v>492</v>
      </c>
      <c r="B26" s="2" t="s">
        <v>493</v>
      </c>
      <c r="C26" s="2"/>
      <c r="D26" s="2"/>
      <c r="E26" s="2"/>
      <c r="F26" s="2"/>
    </row>
    <row r="27" spans="1:6">
      <c r="A27" s="2"/>
      <c r="B27" s="2"/>
      <c r="C27" s="2"/>
      <c r="D27" s="2"/>
      <c r="E27" s="2"/>
      <c r="F27" s="2"/>
    </row>
    <row r="28" spans="1:6" ht="27.75" customHeight="1">
      <c r="A28" s="3" t="s">
        <v>494</v>
      </c>
      <c r="B28" s="317" t="s">
        <v>495</v>
      </c>
      <c r="C28" s="317"/>
      <c r="D28" s="317"/>
      <c r="E28" s="317"/>
      <c r="F28" s="2"/>
    </row>
    <row r="29" spans="1:6">
      <c r="A29" s="5">
        <v>1</v>
      </c>
      <c r="B29" s="2" t="s">
        <v>496</v>
      </c>
      <c r="C29" s="2"/>
      <c r="D29" s="2"/>
      <c r="E29" s="2"/>
      <c r="F29" s="2"/>
    </row>
    <row r="30" spans="1:6">
      <c r="A30" s="5">
        <v>2</v>
      </c>
      <c r="B30" s="2" t="s">
        <v>497</v>
      </c>
      <c r="C30" s="2"/>
      <c r="D30" s="2"/>
      <c r="E30" s="2"/>
      <c r="F30" s="2"/>
    </row>
    <row r="31" spans="1:6">
      <c r="A31" s="5">
        <v>3</v>
      </c>
      <c r="B31" s="2" t="s">
        <v>498</v>
      </c>
      <c r="C31" s="2"/>
      <c r="D31" s="2"/>
      <c r="E31" s="2"/>
      <c r="F31" s="2"/>
    </row>
    <row r="32" spans="1:6">
      <c r="A32" s="5">
        <v>4</v>
      </c>
      <c r="B32" s="2" t="s">
        <v>499</v>
      </c>
      <c r="C32" s="2"/>
      <c r="D32" s="2"/>
      <c r="E32" s="2"/>
      <c r="F32" s="2"/>
    </row>
    <row r="33" spans="1:6">
      <c r="A33" s="5">
        <v>5</v>
      </c>
      <c r="B33" s="2" t="s">
        <v>500</v>
      </c>
      <c r="C33" s="2"/>
      <c r="D33" s="2"/>
      <c r="E33" s="2"/>
      <c r="F33" s="2"/>
    </row>
    <row r="34" spans="1:6">
      <c r="A34" s="5">
        <v>6</v>
      </c>
      <c r="B34" s="2" t="s">
        <v>501</v>
      </c>
      <c r="C34" s="2"/>
      <c r="D34" s="2"/>
      <c r="E34" s="2"/>
      <c r="F34" s="2"/>
    </row>
    <row r="35" spans="1:6">
      <c r="A35" s="5">
        <v>7</v>
      </c>
      <c r="B35" s="2" t="s">
        <v>469</v>
      </c>
      <c r="C35" s="2"/>
      <c r="D35" s="2"/>
      <c r="E35" s="2"/>
      <c r="F35" s="2"/>
    </row>
    <row r="36" spans="1:6">
      <c r="A36" s="2"/>
      <c r="B36" s="2"/>
      <c r="C36" s="2"/>
      <c r="D36" s="2"/>
      <c r="E36" s="2"/>
      <c r="F36" s="2"/>
    </row>
    <row r="37" spans="1:6">
      <c r="A37" s="3" t="s">
        <v>502</v>
      </c>
      <c r="B37" s="318" t="s">
        <v>503</v>
      </c>
      <c r="C37" s="318"/>
      <c r="D37" s="318"/>
      <c r="E37" s="2"/>
      <c r="F37" s="2"/>
    </row>
    <row r="38" spans="1:6">
      <c r="A38" s="5">
        <v>1</v>
      </c>
      <c r="B38" s="2" t="s">
        <v>504</v>
      </c>
      <c r="C38" s="2"/>
      <c r="D38" s="2"/>
      <c r="E38" s="2"/>
      <c r="F38" s="2"/>
    </row>
    <row r="39" spans="1:6">
      <c r="A39" s="5">
        <v>2</v>
      </c>
      <c r="B39" s="2" t="s">
        <v>505</v>
      </c>
      <c r="C39" s="2"/>
      <c r="D39" s="2"/>
      <c r="E39" s="2"/>
      <c r="F39" s="2"/>
    </row>
    <row r="40" spans="1:6">
      <c r="A40" s="5">
        <v>3</v>
      </c>
      <c r="B40" s="2" t="s">
        <v>506</v>
      </c>
      <c r="C40" s="2"/>
      <c r="D40" s="2"/>
      <c r="E40" s="2"/>
      <c r="F40" s="2"/>
    </row>
    <row r="41" spans="1:6">
      <c r="A41" s="5">
        <v>4</v>
      </c>
      <c r="B41" s="2" t="s">
        <v>507</v>
      </c>
      <c r="C41" s="2"/>
      <c r="D41" s="2"/>
      <c r="E41" s="2"/>
      <c r="F41" s="2"/>
    </row>
    <row r="42" spans="1:6">
      <c r="A42" s="5">
        <v>5</v>
      </c>
      <c r="B42" s="2" t="s">
        <v>53</v>
      </c>
      <c r="C42" s="2"/>
      <c r="D42" s="2"/>
      <c r="E42" s="2"/>
      <c r="F42" s="2"/>
    </row>
    <row r="43" spans="1:6">
      <c r="A43" s="5">
        <v>6</v>
      </c>
      <c r="B43" s="2" t="s">
        <v>508</v>
      </c>
      <c r="C43" s="2"/>
      <c r="D43" s="2"/>
      <c r="E43" s="2"/>
      <c r="F43" s="2"/>
    </row>
    <row r="44" spans="1:6">
      <c r="A44" s="5">
        <v>7</v>
      </c>
      <c r="B44" s="2" t="s">
        <v>509</v>
      </c>
      <c r="C44" s="2"/>
      <c r="D44" s="2"/>
      <c r="E44" s="2"/>
      <c r="F44" s="2"/>
    </row>
    <row r="45" spans="1:6">
      <c r="A45" s="5">
        <v>8</v>
      </c>
      <c r="B45" s="2" t="s">
        <v>510</v>
      </c>
      <c r="C45" s="2"/>
      <c r="D45" s="2"/>
      <c r="E45" s="2"/>
      <c r="F45" s="2"/>
    </row>
    <row r="46" spans="1:6">
      <c r="A46" s="5">
        <v>9</v>
      </c>
      <c r="B46" s="2" t="s">
        <v>50</v>
      </c>
      <c r="C46" s="2"/>
      <c r="D46" s="2"/>
      <c r="E46" s="2"/>
      <c r="F46" s="2"/>
    </row>
    <row r="47" spans="1:6">
      <c r="A47" s="5">
        <v>10</v>
      </c>
      <c r="B47" s="2" t="s">
        <v>511</v>
      </c>
      <c r="C47" s="2"/>
      <c r="D47" s="2"/>
      <c r="E47" s="2"/>
      <c r="F47" s="2"/>
    </row>
    <row r="48" spans="1:6">
      <c r="A48" s="5">
        <v>11</v>
      </c>
      <c r="B48" s="2" t="s">
        <v>512</v>
      </c>
      <c r="C48" s="2"/>
      <c r="D48" s="2"/>
      <c r="E48" s="2"/>
      <c r="F48" s="2"/>
    </row>
    <row r="49" spans="1:6">
      <c r="A49" s="5">
        <v>12</v>
      </c>
      <c r="B49" s="2" t="s">
        <v>513</v>
      </c>
      <c r="C49" s="2"/>
      <c r="D49" s="2"/>
      <c r="E49" s="2"/>
      <c r="F49" s="2"/>
    </row>
    <row r="50" spans="1:6">
      <c r="A50" s="5">
        <v>13</v>
      </c>
      <c r="B50" s="2" t="s">
        <v>514</v>
      </c>
      <c r="C50" s="2"/>
      <c r="D50" s="2"/>
      <c r="E50" s="2"/>
      <c r="F50" s="2"/>
    </row>
    <row r="51" spans="1:6">
      <c r="A51" s="5">
        <v>14</v>
      </c>
      <c r="B51" s="2" t="s">
        <v>515</v>
      </c>
      <c r="C51" s="2"/>
      <c r="D51" s="2"/>
      <c r="E51" s="2"/>
      <c r="F51" s="2"/>
    </row>
  </sheetData>
  <sheetProtection algorithmName="SHA-512" hashValue="i32MzcJgXHQGyY9PwC7SmjJmFMN9iiGHBBQv2//zqvevPqtU6HA9cQqfvil/AOp25CpTTQwLyhCqVpDlm4OApw==" saltValue="msCz/YExkuMdXQl/qJcxFg==" spinCount="100000" sheet="1" objects="1" scenarios="1" formatCells="0"/>
  <protectedRanges>
    <protectedRange algorithmName="SHA-512" hashValue="aCd0muCp19XDDLCHve0wXQLiplhc6xyqBA+ntK5vK3FDaA6pSEj50tdpUln70L+8ld3gyBNYbwR3dYBZlGzz+w==" saltValue="ThAl/E7Qx4YCgEI1WQ20FA==" spinCount="100000" sqref="A1:F11" name="Range1"/>
  </protectedRanges>
  <dataConsolidate/>
  <mergeCells count="6">
    <mergeCell ref="B4:E4"/>
    <mergeCell ref="B28:E28"/>
    <mergeCell ref="B37:D37"/>
    <mergeCell ref="B8:E8"/>
    <mergeCell ref="B9:E9"/>
    <mergeCell ref="B10:E10"/>
  </mergeCells>
  <dataValidations count="1">
    <dataValidation type="whole" operator="greaterThan" allowBlank="1" showInputMessage="1" showErrorMessage="1" sqref="B20:B21" xr:uid="{65EFCDA4-F684-459D-9601-B7526E47EF99}">
      <formula1>0</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AA65-4FAA-4353-85A0-603C4FF98B92}">
  <sheetPr codeName="Sheet2"/>
  <dimension ref="A1:G45"/>
  <sheetViews>
    <sheetView workbookViewId="0">
      <selection activeCell="F64" sqref="F64"/>
    </sheetView>
  </sheetViews>
  <sheetFormatPr defaultRowHeight="15"/>
  <cols>
    <col min="1" max="1" width="37.140625" customWidth="1"/>
    <col min="2" max="2" width="15.28515625" customWidth="1"/>
    <col min="5" max="5" width="37.140625" customWidth="1"/>
    <col min="6" max="6" width="11.28515625" customWidth="1"/>
  </cols>
  <sheetData>
    <row r="1" spans="1:7" ht="15.75">
      <c r="A1" s="18" t="s">
        <v>516</v>
      </c>
      <c r="B1" s="2"/>
      <c r="C1" s="2"/>
      <c r="D1" s="2"/>
      <c r="E1" s="2"/>
      <c r="F1" s="2"/>
      <c r="G1" s="2"/>
    </row>
    <row r="2" spans="1:7">
      <c r="A2" s="2" t="s">
        <v>517</v>
      </c>
      <c r="B2" s="2"/>
      <c r="C2" s="2"/>
      <c r="D2" s="2"/>
      <c r="E2" s="2"/>
      <c r="F2" s="2"/>
      <c r="G2" s="2"/>
    </row>
    <row r="3" spans="1:7">
      <c r="A3" s="2"/>
      <c r="B3" s="2"/>
      <c r="C3" s="2"/>
      <c r="D3" s="2"/>
      <c r="E3" s="2"/>
      <c r="F3" s="2"/>
      <c r="G3" s="2"/>
    </row>
    <row r="4" spans="1:7" ht="15.75">
      <c r="A4" s="7" t="s">
        <v>518</v>
      </c>
      <c r="B4" s="2"/>
      <c r="C4" s="7" t="s">
        <v>1</v>
      </c>
      <c r="D4" s="2"/>
      <c r="E4" s="321" t="s">
        <v>519</v>
      </c>
      <c r="F4" s="321"/>
      <c r="G4" s="7" t="s">
        <v>1</v>
      </c>
    </row>
    <row r="5" spans="1:7">
      <c r="A5" s="2" t="s">
        <v>520</v>
      </c>
      <c r="B5" s="1">
        <v>2680</v>
      </c>
      <c r="C5" s="2" t="s">
        <v>5</v>
      </c>
      <c r="D5" s="2"/>
      <c r="E5" s="7" t="s">
        <v>521</v>
      </c>
      <c r="F5" s="2"/>
      <c r="G5" s="2"/>
    </row>
    <row r="6" spans="1:7">
      <c r="A6" s="2" t="s">
        <v>522</v>
      </c>
      <c r="B6" s="36" t="s">
        <v>523</v>
      </c>
      <c r="C6" s="2" t="s">
        <v>331</v>
      </c>
      <c r="D6" s="2"/>
      <c r="E6" s="2" t="s">
        <v>524</v>
      </c>
      <c r="F6" s="1">
        <v>1</v>
      </c>
      <c r="G6" s="2" t="s">
        <v>331</v>
      </c>
    </row>
    <row r="7" spans="1:7">
      <c r="A7" s="2" t="s">
        <v>525</v>
      </c>
      <c r="B7" s="2">
        <v>500</v>
      </c>
      <c r="C7" s="2" t="s">
        <v>5</v>
      </c>
      <c r="D7" s="2"/>
      <c r="E7" s="2" t="s">
        <v>526</v>
      </c>
      <c r="F7" s="1">
        <v>1</v>
      </c>
      <c r="G7" s="2" t="s">
        <v>331</v>
      </c>
    </row>
    <row r="8" spans="1:7">
      <c r="A8" s="2" t="s">
        <v>527</v>
      </c>
      <c r="B8" s="2">
        <v>298</v>
      </c>
      <c r="C8" s="2" t="s">
        <v>528</v>
      </c>
      <c r="D8" s="2"/>
      <c r="E8" s="2" t="s">
        <v>529</v>
      </c>
      <c r="F8" s="1" t="s">
        <v>530</v>
      </c>
      <c r="G8" s="2" t="s">
        <v>331</v>
      </c>
    </row>
    <row r="9" spans="1:7">
      <c r="A9" s="2" t="s">
        <v>531</v>
      </c>
      <c r="B9" s="2">
        <v>1</v>
      </c>
      <c r="C9" s="2" t="s">
        <v>331</v>
      </c>
      <c r="D9" s="2"/>
      <c r="E9" s="2" t="s">
        <v>532</v>
      </c>
      <c r="F9" s="1" t="s">
        <v>533</v>
      </c>
      <c r="G9" s="2" t="s">
        <v>331</v>
      </c>
    </row>
    <row r="10" spans="1:7">
      <c r="A10" s="2"/>
      <c r="B10" s="2"/>
      <c r="C10" s="2"/>
      <c r="D10" s="2"/>
      <c r="E10" s="6" t="s">
        <v>534</v>
      </c>
      <c r="F10" s="2">
        <f>B40</f>
        <v>2</v>
      </c>
      <c r="G10" s="2" t="s">
        <v>331</v>
      </c>
    </row>
    <row r="11" spans="1:7">
      <c r="A11" s="7" t="s">
        <v>535</v>
      </c>
      <c r="B11" s="2"/>
      <c r="C11" s="2"/>
      <c r="D11" s="2"/>
      <c r="E11" s="2" t="s">
        <v>536</v>
      </c>
      <c r="F11" s="1">
        <v>3.2</v>
      </c>
      <c r="G11" s="2" t="s">
        <v>537</v>
      </c>
    </row>
    <row r="12" spans="1:7">
      <c r="A12" s="2" t="s">
        <v>538</v>
      </c>
      <c r="B12" s="1">
        <v>4.7</v>
      </c>
      <c r="C12" s="2" t="s">
        <v>329</v>
      </c>
      <c r="D12" s="2"/>
      <c r="E12" s="2"/>
      <c r="F12" s="2"/>
      <c r="G12" s="2"/>
    </row>
    <row r="13" spans="1:7">
      <c r="A13" s="2" t="s">
        <v>539</v>
      </c>
      <c r="B13" s="1">
        <v>7400</v>
      </c>
      <c r="C13" s="2" t="s">
        <v>5</v>
      </c>
      <c r="D13" s="2"/>
      <c r="E13" s="7" t="s">
        <v>540</v>
      </c>
      <c r="F13" s="2"/>
      <c r="G13" s="2"/>
    </row>
    <row r="14" spans="1:7">
      <c r="A14" s="2" t="s">
        <v>541</v>
      </c>
      <c r="B14" s="1">
        <f>273.15-33.1</f>
        <v>240.04999999999998</v>
      </c>
      <c r="C14" s="2" t="s">
        <v>528</v>
      </c>
      <c r="D14" s="2"/>
      <c r="E14" s="2" t="s">
        <v>524</v>
      </c>
      <c r="F14" s="1">
        <v>1</v>
      </c>
      <c r="G14" s="2" t="s">
        <v>331</v>
      </c>
    </row>
    <row r="15" spans="1:7">
      <c r="A15" s="2" t="s">
        <v>542</v>
      </c>
      <c r="B15" s="1">
        <v>0.95</v>
      </c>
      <c r="C15" s="2" t="s">
        <v>331</v>
      </c>
      <c r="D15" s="2"/>
      <c r="E15" s="2" t="s">
        <v>526</v>
      </c>
      <c r="F15" s="1">
        <v>0.5</v>
      </c>
      <c r="G15" s="2" t="s">
        <v>331</v>
      </c>
    </row>
    <row r="16" spans="1:7">
      <c r="A16" s="2"/>
      <c r="B16" s="2"/>
      <c r="C16" s="2"/>
      <c r="D16" s="2"/>
      <c r="E16" s="2" t="s">
        <v>529</v>
      </c>
      <c r="F16" s="1" t="s">
        <v>530</v>
      </c>
      <c r="G16" s="2" t="s">
        <v>331</v>
      </c>
    </row>
    <row r="17" spans="1:7">
      <c r="A17" s="7" t="s">
        <v>543</v>
      </c>
      <c r="B17" s="2"/>
      <c r="C17" s="2"/>
      <c r="D17" s="2"/>
      <c r="E17" s="2" t="s">
        <v>532</v>
      </c>
      <c r="F17" s="1" t="s">
        <v>533</v>
      </c>
      <c r="G17" s="2" t="s">
        <v>331</v>
      </c>
    </row>
    <row r="18" spans="1:7">
      <c r="A18" s="15" t="s">
        <v>544</v>
      </c>
      <c r="B18" s="178">
        <v>0.82</v>
      </c>
      <c r="C18" s="1" t="s">
        <v>545</v>
      </c>
      <c r="D18" s="2"/>
      <c r="E18" s="6" t="s">
        <v>534</v>
      </c>
      <c r="F18" s="2">
        <f>B40-1</f>
        <v>1</v>
      </c>
      <c r="G18" s="2" t="s">
        <v>331</v>
      </c>
    </row>
    <row r="19" spans="1:7">
      <c r="A19" s="2" t="s">
        <v>546</v>
      </c>
      <c r="B19" s="1">
        <v>10000</v>
      </c>
      <c r="C19" s="2" t="s">
        <v>5</v>
      </c>
      <c r="D19" s="2"/>
      <c r="E19" s="2" t="s">
        <v>536</v>
      </c>
      <c r="F19" s="1">
        <v>0</v>
      </c>
      <c r="G19" s="2" t="s">
        <v>537</v>
      </c>
    </row>
    <row r="20" spans="1:7">
      <c r="A20" s="2" t="s">
        <v>541</v>
      </c>
      <c r="B20" s="1">
        <f>273.15-50</f>
        <v>223.14999999999998</v>
      </c>
      <c r="C20" s="2" t="s">
        <v>528</v>
      </c>
      <c r="D20" s="2"/>
      <c r="E20" s="7" t="s">
        <v>547</v>
      </c>
      <c r="F20" s="2"/>
      <c r="G20" s="2"/>
    </row>
    <row r="21" spans="1:7">
      <c r="A21" s="2" t="s">
        <v>548</v>
      </c>
      <c r="B21" s="2">
        <v>0.95</v>
      </c>
      <c r="C21" s="2" t="s">
        <v>331</v>
      </c>
      <c r="D21" s="2"/>
      <c r="E21" s="2" t="s">
        <v>524</v>
      </c>
      <c r="F21" s="1">
        <v>1</v>
      </c>
      <c r="G21" s="2" t="s">
        <v>331</v>
      </c>
    </row>
    <row r="22" spans="1:7">
      <c r="A22" s="2"/>
      <c r="B22" s="2"/>
      <c r="C22" s="2"/>
      <c r="D22" s="2"/>
      <c r="E22" s="2" t="s">
        <v>526</v>
      </c>
      <c r="F22" s="1">
        <v>0.5</v>
      </c>
      <c r="G22" s="2" t="s">
        <v>331</v>
      </c>
    </row>
    <row r="23" spans="1:7">
      <c r="A23" s="7" t="s">
        <v>533</v>
      </c>
      <c r="B23" s="2"/>
      <c r="C23" s="2"/>
      <c r="D23" s="2"/>
      <c r="E23" s="2" t="s">
        <v>529</v>
      </c>
      <c r="F23" s="1" t="s">
        <v>549</v>
      </c>
      <c r="G23" s="2" t="s">
        <v>331</v>
      </c>
    </row>
    <row r="24" spans="1:7">
      <c r="A24" s="2" t="s">
        <v>550</v>
      </c>
      <c r="B24" s="1">
        <v>1480</v>
      </c>
      <c r="C24" s="2" t="s">
        <v>5</v>
      </c>
      <c r="D24" s="2"/>
      <c r="E24" s="2" t="s">
        <v>532</v>
      </c>
      <c r="F24" s="1" t="s">
        <v>518</v>
      </c>
      <c r="G24" s="2" t="s">
        <v>331</v>
      </c>
    </row>
    <row r="25" spans="1:7">
      <c r="A25" s="2" t="s">
        <v>551</v>
      </c>
      <c r="B25" s="36" t="s">
        <v>552</v>
      </c>
      <c r="C25" s="2" t="s">
        <v>331</v>
      </c>
      <c r="D25" s="2"/>
      <c r="E25" s="6" t="s">
        <v>534</v>
      </c>
      <c r="F25" s="2">
        <f>B40-1</f>
        <v>1</v>
      </c>
      <c r="G25" s="2" t="s">
        <v>331</v>
      </c>
    </row>
    <row r="26" spans="1:7">
      <c r="A26" s="2" t="s">
        <v>522</v>
      </c>
      <c r="B26" s="36" t="s">
        <v>523</v>
      </c>
      <c r="C26" s="2" t="s">
        <v>331</v>
      </c>
      <c r="D26" s="2"/>
      <c r="E26" s="2" t="s">
        <v>536</v>
      </c>
      <c r="F26" s="1">
        <v>2.4</v>
      </c>
      <c r="G26" s="2" t="s">
        <v>537</v>
      </c>
    </row>
    <row r="27" spans="1:7">
      <c r="A27" s="2" t="s">
        <v>525</v>
      </c>
      <c r="B27" s="2">
        <v>0</v>
      </c>
      <c r="C27" s="2" t="s">
        <v>5</v>
      </c>
      <c r="D27" s="2"/>
      <c r="E27" s="7" t="s">
        <v>553</v>
      </c>
      <c r="F27" s="2"/>
      <c r="G27" s="2"/>
    </row>
    <row r="28" spans="1:7">
      <c r="A28" s="2" t="s">
        <v>527</v>
      </c>
      <c r="B28" s="2">
        <v>288.14999999999998</v>
      </c>
      <c r="C28" s="2" t="s">
        <v>528</v>
      </c>
      <c r="D28" s="2"/>
      <c r="E28" s="2" t="s">
        <v>524</v>
      </c>
      <c r="F28" s="1">
        <v>1</v>
      </c>
      <c r="G28" s="2" t="s">
        <v>331</v>
      </c>
    </row>
    <row r="29" spans="1:7">
      <c r="A29" s="2" t="s">
        <v>554</v>
      </c>
      <c r="B29" s="1">
        <v>0.87</v>
      </c>
      <c r="C29" s="2" t="s">
        <v>331</v>
      </c>
      <c r="D29" s="2"/>
      <c r="E29" s="2" t="s">
        <v>526</v>
      </c>
      <c r="F29" s="1">
        <v>0.5</v>
      </c>
      <c r="G29" s="2" t="s">
        <v>331</v>
      </c>
    </row>
    <row r="30" spans="1:7">
      <c r="A30" s="2" t="s">
        <v>555</v>
      </c>
      <c r="B30" s="2">
        <v>45</v>
      </c>
      <c r="C30" s="2" t="s">
        <v>556</v>
      </c>
      <c r="D30" s="2"/>
      <c r="E30" s="2" t="s">
        <v>529</v>
      </c>
      <c r="F30" s="1" t="s">
        <v>549</v>
      </c>
      <c r="G30" s="2" t="s">
        <v>331</v>
      </c>
    </row>
    <row r="31" spans="1:7">
      <c r="A31" s="2" t="s">
        <v>557</v>
      </c>
      <c r="B31" s="2">
        <v>250</v>
      </c>
      <c r="C31" s="2" t="s">
        <v>486</v>
      </c>
      <c r="D31" s="2"/>
      <c r="E31" s="2" t="s">
        <v>532</v>
      </c>
      <c r="F31" s="1" t="s">
        <v>558</v>
      </c>
      <c r="G31" s="2" t="s">
        <v>331</v>
      </c>
    </row>
    <row r="32" spans="1:7">
      <c r="A32" s="2" t="s">
        <v>559</v>
      </c>
      <c r="B32" s="36" t="s">
        <v>560</v>
      </c>
      <c r="C32" s="2" t="s">
        <v>331</v>
      </c>
      <c r="D32" s="2"/>
      <c r="E32" s="6" t="s">
        <v>534</v>
      </c>
      <c r="F32" s="2">
        <f>B40-1</f>
        <v>1</v>
      </c>
      <c r="G32" s="2" t="s">
        <v>331</v>
      </c>
    </row>
    <row r="33" spans="1:7">
      <c r="A33" s="2"/>
      <c r="B33" s="2"/>
      <c r="C33" s="2"/>
      <c r="D33" s="2"/>
      <c r="E33" s="2" t="s">
        <v>536</v>
      </c>
      <c r="F33" s="1">
        <v>1.2</v>
      </c>
      <c r="G33" s="2" t="s">
        <v>537</v>
      </c>
    </row>
    <row r="34" spans="1:7">
      <c r="A34" s="7" t="s">
        <v>561</v>
      </c>
      <c r="B34" s="2"/>
      <c r="C34" s="2"/>
      <c r="D34" s="2"/>
      <c r="E34" s="7" t="s">
        <v>562</v>
      </c>
      <c r="F34" s="2"/>
      <c r="G34" s="2"/>
    </row>
    <row r="35" spans="1:7">
      <c r="A35" s="2" t="s">
        <v>563</v>
      </c>
      <c r="B35" s="2">
        <v>0</v>
      </c>
      <c r="C35" s="2" t="s">
        <v>5</v>
      </c>
      <c r="D35" s="2"/>
      <c r="E35" s="2" t="s">
        <v>524</v>
      </c>
      <c r="F35" s="1">
        <f>B29</f>
        <v>0.87</v>
      </c>
      <c r="G35" s="2" t="s">
        <v>331</v>
      </c>
    </row>
    <row r="36" spans="1:7">
      <c r="A36" s="2" t="s">
        <v>564</v>
      </c>
      <c r="B36" s="1">
        <v>0.87</v>
      </c>
      <c r="C36" s="2" t="s">
        <v>331</v>
      </c>
      <c r="D36" s="2"/>
      <c r="E36" s="2" t="s">
        <v>526</v>
      </c>
      <c r="F36" s="1">
        <v>0.5</v>
      </c>
      <c r="G36" s="2" t="s">
        <v>331</v>
      </c>
    </row>
    <row r="37" spans="1:7">
      <c r="A37" s="2" t="s">
        <v>541</v>
      </c>
      <c r="B37" s="2">
        <v>288.14999999999998</v>
      </c>
      <c r="C37" s="2" t="s">
        <v>528</v>
      </c>
      <c r="D37" s="2"/>
      <c r="E37" s="2" t="s">
        <v>529</v>
      </c>
      <c r="F37" s="1" t="s">
        <v>549</v>
      </c>
      <c r="G37" s="2" t="s">
        <v>331</v>
      </c>
    </row>
    <row r="38" spans="1:7">
      <c r="A38" s="2" t="s">
        <v>565</v>
      </c>
      <c r="B38" s="1">
        <v>68</v>
      </c>
      <c r="C38" s="2" t="s">
        <v>329</v>
      </c>
      <c r="D38" s="2"/>
      <c r="E38" s="2" t="s">
        <v>532</v>
      </c>
      <c r="F38" s="1" t="s">
        <v>533</v>
      </c>
      <c r="G38" s="2" t="s">
        <v>331</v>
      </c>
    </row>
    <row r="39" spans="1:7">
      <c r="A39" s="2"/>
      <c r="B39" s="2"/>
      <c r="C39" s="2"/>
      <c r="D39" s="2"/>
      <c r="E39" s="6" t="s">
        <v>534</v>
      </c>
      <c r="F39" s="2">
        <f>B40-1</f>
        <v>1</v>
      </c>
      <c r="G39" s="2" t="s">
        <v>331</v>
      </c>
    </row>
    <row r="40" spans="1:7">
      <c r="A40" s="13" t="s">
        <v>566</v>
      </c>
      <c r="B40" s="1">
        <v>2</v>
      </c>
      <c r="C40" s="2" t="s">
        <v>331</v>
      </c>
      <c r="D40" s="2"/>
      <c r="E40" s="2" t="s">
        <v>536</v>
      </c>
      <c r="F40" s="1">
        <v>2.1</v>
      </c>
      <c r="G40" s="2" t="s">
        <v>537</v>
      </c>
    </row>
    <row r="41" spans="1:7">
      <c r="A41" s="2"/>
      <c r="B41" s="2"/>
      <c r="C41" s="2"/>
      <c r="D41" s="2"/>
      <c r="E41" s="2"/>
      <c r="F41" s="2"/>
      <c r="G41" s="2"/>
    </row>
    <row r="42" spans="1:7">
      <c r="A42" s="7" t="s">
        <v>567</v>
      </c>
      <c r="B42" s="2"/>
      <c r="C42" s="2"/>
      <c r="D42" s="2"/>
      <c r="E42" s="2"/>
      <c r="F42" s="2"/>
      <c r="G42" s="2"/>
    </row>
    <row r="43" spans="1:7">
      <c r="A43" s="37" t="s">
        <v>568</v>
      </c>
      <c r="B43" s="2"/>
      <c r="C43" s="2"/>
      <c r="D43" s="2"/>
      <c r="E43" s="2"/>
      <c r="F43" s="2"/>
      <c r="G43" s="2"/>
    </row>
    <row r="44" spans="1:7">
      <c r="A44" s="37" t="s">
        <v>569</v>
      </c>
      <c r="B44" s="2"/>
      <c r="C44" s="2"/>
      <c r="D44" s="2"/>
      <c r="E44" s="2"/>
      <c r="F44" s="2"/>
      <c r="G44" s="2"/>
    </row>
    <row r="45" spans="1:7">
      <c r="A45" s="2" t="s">
        <v>570</v>
      </c>
      <c r="B45" s="2"/>
      <c r="C45" s="2"/>
      <c r="D45" s="2"/>
      <c r="E45" s="2"/>
      <c r="F45" s="2"/>
      <c r="G45" s="2"/>
    </row>
  </sheetData>
  <sheetProtection algorithmName="SHA-512" hashValue="iis8SYKSlbL9RUltiD6ELE0nKxbh6i0Tg4d5iyNwWMVSpykmb+xx//mlyTajqATK5xXZAKZpMYQWnQbTKAidLQ==" saltValue="2HnaCMDHvT8oqnkUUOLFdg==" spinCount="100000" sheet="1" objects="1" scenarios="1" formatCells="0"/>
  <mergeCells count="1">
    <mergeCell ref="E4:F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619789C9-7D02-4E85-872F-3B5B41F2A51B}">
          <x14:formula1>
            <xm:f>Sheet2!$A$24:$A$26</xm:f>
          </x14:formula1>
          <xm:sqref>F9 F17 F24 F31 F38</xm:sqref>
        </x14:dataValidation>
        <x14:dataValidation type="list" allowBlank="1" showInputMessage="1" showErrorMessage="1" xr:uid="{5CDC9546-B3AF-4484-A5B3-E62BA1A9CBB3}">
          <x14:formula1>
            <xm:f>Sheet2!$C$24:$C$25</xm:f>
          </x14:formula1>
          <xm:sqref>F8 F16 F23 F30 F37</xm:sqref>
        </x14:dataValidation>
        <x14:dataValidation type="list" allowBlank="1" showInputMessage="1" showErrorMessage="1" xr:uid="{3DCD10C1-76D7-4641-8C07-007A8DF37BA3}">
          <x14:formula1>
            <xm:f>Sheet2!$A$19:$A$21</xm:f>
          </x14:formula1>
          <xm:sqref>B25</xm:sqref>
        </x14:dataValidation>
        <x14:dataValidation type="list" allowBlank="1" showInputMessage="1" showErrorMessage="1" xr:uid="{1E8CFEC7-D029-480F-B423-2C35F98C8798}">
          <x14:formula1>
            <xm:f>Sheet2!$C$19:$C$19</xm:f>
          </x14:formula1>
          <xm:sqref>B32</xm:sqref>
        </x14:dataValidation>
        <x14:dataValidation type="list" allowBlank="1" showInputMessage="1" showErrorMessage="1" xr:uid="{1BF1B2E7-5AB6-4E13-A1A2-6A40FC58ED53}">
          <x14:formula1>
            <xm:f>Sheet2!$A$13:$A$16</xm:f>
          </x14:formula1>
          <xm:sqref>B6 B26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5DB85-79DA-4576-9DAF-777C193F1787}">
  <sheetPr codeName="Sheet3"/>
  <dimension ref="A1:R24"/>
  <sheetViews>
    <sheetView topLeftCell="J1" zoomScale="115" zoomScaleNormal="115" workbookViewId="0">
      <selection activeCell="P46" sqref="P46"/>
    </sheetView>
  </sheetViews>
  <sheetFormatPr defaultRowHeight="15"/>
  <cols>
    <col min="1" max="1" width="22.7109375" bestFit="1" customWidth="1"/>
    <col min="2" max="7" width="15.7109375" customWidth="1"/>
    <col min="8" max="8" width="17.28515625" customWidth="1"/>
    <col min="9" max="16" width="15.7109375" customWidth="1"/>
    <col min="18" max="18" width="11.7109375" bestFit="1" customWidth="1"/>
  </cols>
  <sheetData>
    <row r="1" spans="1:18">
      <c r="A1" s="2" t="s">
        <v>571</v>
      </c>
      <c r="B1" s="2"/>
      <c r="C1" s="2"/>
      <c r="D1" s="2"/>
      <c r="E1" s="2"/>
      <c r="F1" s="2"/>
      <c r="G1" s="2"/>
      <c r="H1" s="2"/>
      <c r="I1" s="2"/>
      <c r="J1" s="2"/>
      <c r="K1" s="2"/>
      <c r="L1" s="2"/>
      <c r="M1" s="2"/>
      <c r="N1" s="2"/>
      <c r="O1" s="2"/>
      <c r="P1" s="2"/>
      <c r="Q1" s="2"/>
      <c r="R1" s="2"/>
    </row>
    <row r="2" spans="1:18">
      <c r="A2" s="7" t="s">
        <v>572</v>
      </c>
      <c r="B2" s="21">
        <f>'Cover sheet'!B17</f>
        <v>0</v>
      </c>
      <c r="C2" s="2"/>
      <c r="D2" s="2"/>
      <c r="E2" s="2"/>
      <c r="F2" s="2"/>
      <c r="G2" s="2"/>
      <c r="H2" s="2"/>
      <c r="I2" s="2"/>
      <c r="J2" s="2"/>
      <c r="K2" s="2"/>
      <c r="L2" s="2"/>
      <c r="M2" s="2"/>
      <c r="N2" s="2"/>
      <c r="O2" s="2"/>
      <c r="P2" s="2"/>
      <c r="Q2" s="2"/>
      <c r="R2" s="2"/>
    </row>
    <row r="3" spans="1:18">
      <c r="A3" s="7" t="s">
        <v>484</v>
      </c>
      <c r="B3" s="21">
        <f>'Cover sheet'!B20</f>
        <v>100</v>
      </c>
      <c r="C3" s="2" t="s">
        <v>331</v>
      </c>
      <c r="D3" s="2"/>
      <c r="E3" s="2"/>
      <c r="F3" s="2"/>
      <c r="G3" s="2"/>
      <c r="H3" s="2"/>
      <c r="I3" s="2"/>
      <c r="J3" s="2"/>
      <c r="K3" s="2"/>
      <c r="L3" s="2"/>
      <c r="M3" s="2"/>
      <c r="N3" s="2"/>
      <c r="O3" s="2"/>
      <c r="P3" s="2"/>
      <c r="Q3" s="2"/>
      <c r="R3" s="2"/>
    </row>
    <row r="4" spans="1:18">
      <c r="A4" s="7" t="s">
        <v>573</v>
      </c>
      <c r="B4" s="2">
        <f>'Cover sheet'!B25</f>
        <v>11965</v>
      </c>
      <c r="C4" s="2" t="s">
        <v>382</v>
      </c>
      <c r="D4" s="2"/>
      <c r="E4" s="2"/>
      <c r="F4" s="2"/>
      <c r="G4" s="2"/>
      <c r="H4" s="2"/>
      <c r="I4" s="2"/>
      <c r="J4" s="2"/>
      <c r="K4" s="2"/>
      <c r="L4" s="2"/>
      <c r="M4" s="2"/>
      <c r="N4" s="2"/>
      <c r="O4" s="2"/>
      <c r="P4" s="2"/>
      <c r="Q4" s="2"/>
      <c r="R4" s="2"/>
    </row>
    <row r="5" spans="1:18">
      <c r="A5" s="7" t="s">
        <v>574</v>
      </c>
      <c r="B5" s="2">
        <f>'Cover sheet'!B21</f>
        <v>3056</v>
      </c>
      <c r="C5" s="2" t="s">
        <v>486</v>
      </c>
      <c r="D5" s="2"/>
      <c r="E5" s="2"/>
      <c r="F5" s="2"/>
      <c r="G5" s="2"/>
      <c r="H5" s="2"/>
      <c r="I5" s="2"/>
      <c r="J5" s="2"/>
      <c r="K5" s="2"/>
      <c r="L5" s="2"/>
      <c r="M5" s="2"/>
      <c r="N5" s="2"/>
      <c r="O5" s="2"/>
      <c r="P5" s="2"/>
      <c r="Q5" s="2"/>
      <c r="R5" s="2"/>
    </row>
    <row r="6" spans="1:18">
      <c r="A6" s="2"/>
      <c r="B6" s="2"/>
      <c r="C6" s="2"/>
      <c r="D6" s="2"/>
      <c r="E6" s="2"/>
      <c r="F6" s="2"/>
      <c r="G6" s="2"/>
      <c r="H6" s="2"/>
      <c r="I6" s="2"/>
      <c r="J6" s="2"/>
      <c r="K6" s="7" t="s">
        <v>575</v>
      </c>
      <c r="L6" s="7" t="s">
        <v>576</v>
      </c>
      <c r="M6" s="2"/>
      <c r="N6" s="7" t="s">
        <v>577</v>
      </c>
      <c r="O6" s="7" t="s">
        <v>578</v>
      </c>
      <c r="P6" s="7" t="s">
        <v>578</v>
      </c>
      <c r="Q6" s="2"/>
      <c r="R6" s="2"/>
    </row>
    <row r="7" spans="1:18" s="22" customFormat="1" ht="45" customHeight="1">
      <c r="A7" s="20" t="s">
        <v>579</v>
      </c>
      <c r="B7" s="20" t="s">
        <v>580</v>
      </c>
      <c r="C7" s="20" t="s">
        <v>581</v>
      </c>
      <c r="D7" s="20" t="s">
        <v>484</v>
      </c>
      <c r="E7" s="20" t="s">
        <v>582</v>
      </c>
      <c r="F7" s="20" t="s">
        <v>583</v>
      </c>
      <c r="G7" s="20" t="s">
        <v>584</v>
      </c>
      <c r="H7" s="20" t="s">
        <v>585</v>
      </c>
      <c r="I7" s="20" t="s">
        <v>586</v>
      </c>
      <c r="J7" s="20" t="s">
        <v>587</v>
      </c>
      <c r="K7" s="20" t="s">
        <v>588</v>
      </c>
      <c r="L7" s="20" t="s">
        <v>589</v>
      </c>
      <c r="M7" s="20" t="s">
        <v>590</v>
      </c>
      <c r="N7" s="20" t="s">
        <v>591</v>
      </c>
      <c r="O7" s="111" t="str">
        <f>IF('Configuration Selection'!$B$10="propeller","Total Take-off power [kW]","Total Take-off thrust [kN]")</f>
        <v>Total Take-off thrust [kN]</v>
      </c>
      <c r="P7" s="20" t="str">
        <f>IF('Configuration Selection'!$B$10="propeller","W_TO/P_TO [N/W]","T_TO/W_TO [N/N]")</f>
        <v>T_TO/W_TO [N/N]</v>
      </c>
      <c r="Q7" s="23"/>
      <c r="R7" s="23"/>
    </row>
    <row r="8" spans="1:18">
      <c r="A8" s="7">
        <v>1</v>
      </c>
      <c r="B8" s="1" t="s">
        <v>592</v>
      </c>
      <c r="C8" s="1" t="s">
        <v>593</v>
      </c>
      <c r="D8" s="1">
        <v>156</v>
      </c>
      <c r="E8" s="1">
        <v>14000</v>
      </c>
      <c r="F8" s="1">
        <v>6800</v>
      </c>
      <c r="G8" s="1">
        <v>75500</v>
      </c>
      <c r="H8" s="1">
        <v>35400</v>
      </c>
      <c r="I8" s="1">
        <v>122.6</v>
      </c>
      <c r="J8" s="1">
        <v>35.799999999999997</v>
      </c>
      <c r="K8" s="83">
        <f>J8^2/I8</f>
        <v>10.453833605220227</v>
      </c>
      <c r="L8" s="1">
        <v>7</v>
      </c>
      <c r="M8" s="11">
        <f>J8*L8</f>
        <v>250.59999999999997</v>
      </c>
      <c r="N8" s="82">
        <f>H8/G8</f>
        <v>0.46887417218543048</v>
      </c>
      <c r="O8" s="109">
        <f>(120000*2)/1000</f>
        <v>240</v>
      </c>
      <c r="P8" s="82">
        <f>O8/(G8*9.81)*1000</f>
        <v>0.3240375073414748</v>
      </c>
      <c r="Q8" s="2"/>
      <c r="R8" s="2"/>
    </row>
    <row r="9" spans="1:18">
      <c r="A9" s="7">
        <v>2</v>
      </c>
      <c r="B9" s="1" t="s">
        <v>594</v>
      </c>
      <c r="C9" s="1" t="s">
        <v>595</v>
      </c>
      <c r="D9" s="16">
        <v>134</v>
      </c>
      <c r="E9" s="1">
        <v>14500</v>
      </c>
      <c r="F9" s="1">
        <v>3815</v>
      </c>
      <c r="G9" s="1">
        <v>53524</v>
      </c>
      <c r="H9" s="1">
        <v>30600</v>
      </c>
      <c r="I9" s="1">
        <v>93</v>
      </c>
      <c r="J9" s="1">
        <v>28.45</v>
      </c>
      <c r="K9" s="83">
        <f>J9^2/I9</f>
        <v>8.7032526881720429</v>
      </c>
      <c r="L9" s="1">
        <v>6.5</v>
      </c>
      <c r="M9" s="11">
        <f t="shared" ref="M9:M12" si="0">J9*L9</f>
        <v>184.92499999999998</v>
      </c>
      <c r="N9" s="82">
        <f t="shared" ref="N9:N12" si="1">H9/G9</f>
        <v>0.57170615051191986</v>
      </c>
      <c r="O9" s="110">
        <f>(84200*2)/1000</f>
        <v>168.4</v>
      </c>
      <c r="P9" s="82">
        <f>O9/(G9*9.81)*1000</f>
        <v>0.32071887345248379</v>
      </c>
      <c r="Q9" s="2"/>
      <c r="R9" s="2"/>
    </row>
    <row r="10" spans="1:18">
      <c r="A10" s="7">
        <v>3</v>
      </c>
      <c r="B10" s="1" t="s">
        <v>596</v>
      </c>
      <c r="C10" s="1" t="s">
        <v>597</v>
      </c>
      <c r="D10" s="16">
        <v>139</v>
      </c>
      <c r="E10" s="1">
        <v>18200</v>
      </c>
      <c r="F10" s="1">
        <v>4400</v>
      </c>
      <c r="G10" s="1">
        <v>63800</v>
      </c>
      <c r="H10" s="1">
        <v>35310</v>
      </c>
      <c r="I10" s="1">
        <v>112.3</v>
      </c>
      <c r="J10" s="1">
        <v>32.82</v>
      </c>
      <c r="K10" s="83">
        <f t="shared" ref="K10:K12" si="2">J10^2/I10</f>
        <v>9.5917399821905605</v>
      </c>
      <c r="L10" s="1">
        <v>6</v>
      </c>
      <c r="M10" s="11">
        <f t="shared" si="0"/>
        <v>196.92000000000002</v>
      </c>
      <c r="N10" s="82">
        <f t="shared" si="1"/>
        <v>0.55344827586206902</v>
      </c>
      <c r="O10" s="110">
        <f>(93000*2)/1000</f>
        <v>186</v>
      </c>
      <c r="P10" s="82">
        <f>O10/(G10*9.81)*1000</f>
        <v>0.29718251799871542</v>
      </c>
      <c r="Q10" s="2"/>
      <c r="R10" s="2"/>
    </row>
    <row r="11" spans="1:18">
      <c r="A11" s="7">
        <v>4</v>
      </c>
      <c r="B11" s="1" t="s">
        <v>598</v>
      </c>
      <c r="C11" s="1" t="s">
        <v>599</v>
      </c>
      <c r="D11" s="1">
        <v>151</v>
      </c>
      <c r="E11" s="1">
        <v>18325</v>
      </c>
      <c r="F11" s="1">
        <v>7593</v>
      </c>
      <c r="G11" s="1">
        <v>141521</v>
      </c>
      <c r="H11" s="1">
        <v>66670</v>
      </c>
      <c r="I11" s="1">
        <v>264.8</v>
      </c>
      <c r="J11" s="1">
        <v>44.55</v>
      </c>
      <c r="K11" s="83">
        <f t="shared" si="2"/>
        <v>7.4951000755286996</v>
      </c>
      <c r="L11" s="1">
        <v>5</v>
      </c>
      <c r="M11" s="11">
        <f t="shared" si="0"/>
        <v>222.75</v>
      </c>
      <c r="N11" s="82">
        <f t="shared" si="1"/>
        <v>0.47109616240699259</v>
      </c>
      <c r="O11" s="110">
        <f>(93400*4)/1000</f>
        <v>373.6</v>
      </c>
      <c r="P11" s="82">
        <f>O11/(G11*9.81)*1000</f>
        <v>0.26910202849987841</v>
      </c>
      <c r="Q11" s="2"/>
      <c r="R11" s="2"/>
    </row>
    <row r="12" spans="1:18">
      <c r="A12" s="7">
        <v>5</v>
      </c>
      <c r="B12" s="1" t="s">
        <v>600</v>
      </c>
      <c r="C12" s="1" t="s">
        <v>601</v>
      </c>
      <c r="D12" s="1">
        <v>180</v>
      </c>
      <c r="E12" s="1">
        <v>18000</v>
      </c>
      <c r="F12" s="1">
        <v>5280</v>
      </c>
      <c r="G12" s="1">
        <v>102000</v>
      </c>
      <c r="H12" s="1">
        <v>54800</v>
      </c>
      <c r="I12" s="1">
        <v>202</v>
      </c>
      <c r="J12" s="1">
        <v>37.5</v>
      </c>
      <c r="K12" s="83">
        <f t="shared" si="2"/>
        <v>6.9616336633663369</v>
      </c>
      <c r="L12" s="1">
        <v>5.5</v>
      </c>
      <c r="M12" s="11">
        <f t="shared" si="0"/>
        <v>206.25</v>
      </c>
      <c r="N12" s="82">
        <f t="shared" si="1"/>
        <v>0.53725490196078429</v>
      </c>
      <c r="O12" s="109">
        <f>(103000*3)/1000</f>
        <v>309</v>
      </c>
      <c r="P12" s="82">
        <f>O12/(G12*9.81)*1000</f>
        <v>0.30880853870600228</v>
      </c>
      <c r="Q12" s="2"/>
      <c r="R12" s="2"/>
    </row>
    <row r="13" spans="1:18">
      <c r="A13" s="2"/>
      <c r="B13" s="2"/>
      <c r="C13" s="2"/>
      <c r="D13" s="2"/>
      <c r="E13" s="2"/>
      <c r="F13" s="2"/>
      <c r="G13" s="2"/>
      <c r="H13" s="2"/>
      <c r="I13" s="2"/>
      <c r="J13" s="2"/>
      <c r="K13" s="2"/>
      <c r="L13" s="2"/>
      <c r="M13" s="2"/>
      <c r="N13" s="2"/>
      <c r="O13" s="2"/>
      <c r="P13" s="2"/>
      <c r="Q13" s="2"/>
      <c r="R13" s="2"/>
    </row>
    <row r="14" spans="1:18">
      <c r="A14" s="2"/>
      <c r="B14" s="2"/>
      <c r="C14" s="2"/>
      <c r="D14" s="2"/>
      <c r="E14" s="2"/>
      <c r="F14" s="2"/>
      <c r="G14" s="2"/>
      <c r="H14" s="2"/>
      <c r="I14" s="2"/>
      <c r="J14" s="2"/>
      <c r="K14" s="2"/>
      <c r="L14" s="2"/>
      <c r="M14" s="2"/>
      <c r="N14" s="2"/>
      <c r="O14" s="2"/>
      <c r="P14" s="2"/>
      <c r="Q14" s="2"/>
      <c r="R14" s="2"/>
    </row>
    <row r="15" spans="1:18">
      <c r="A15" s="2"/>
      <c r="B15" s="2"/>
      <c r="C15" s="2"/>
      <c r="D15" s="2"/>
      <c r="E15" s="2"/>
      <c r="F15" s="2"/>
      <c r="G15" s="2"/>
      <c r="H15" s="2"/>
      <c r="I15" s="2"/>
      <c r="J15" s="2"/>
      <c r="K15" s="2"/>
      <c r="L15" s="2"/>
      <c r="M15" s="2"/>
      <c r="N15" s="2"/>
      <c r="O15" s="2"/>
      <c r="P15" s="2"/>
      <c r="Q15" s="2"/>
      <c r="R15" s="2"/>
    </row>
    <row r="16" spans="1:18">
      <c r="A16" s="2"/>
      <c r="B16" s="2"/>
      <c r="C16" s="2"/>
      <c r="D16" s="2"/>
      <c r="E16" s="2"/>
      <c r="F16" s="2"/>
      <c r="G16" s="2"/>
      <c r="H16" s="2"/>
      <c r="I16" s="2"/>
      <c r="J16" s="2"/>
      <c r="K16" s="2"/>
      <c r="L16" s="2"/>
      <c r="M16" s="2"/>
      <c r="N16" s="2"/>
      <c r="O16" s="2"/>
      <c r="P16" s="2"/>
      <c r="Q16" s="2"/>
      <c r="R16" s="2"/>
    </row>
    <row r="17" spans="1:18">
      <c r="A17" s="2"/>
      <c r="B17" s="2"/>
      <c r="C17" s="2"/>
      <c r="D17" s="2"/>
      <c r="E17" s="2"/>
      <c r="F17" s="2"/>
      <c r="G17" s="2"/>
      <c r="H17" s="2"/>
      <c r="I17" s="2"/>
      <c r="J17" s="2"/>
      <c r="K17" s="2"/>
      <c r="L17" s="2"/>
      <c r="M17" s="2"/>
      <c r="N17" s="2"/>
      <c r="O17" s="2"/>
      <c r="P17" s="2"/>
      <c r="Q17" s="2"/>
      <c r="R17" s="2"/>
    </row>
    <row r="18" spans="1:18">
      <c r="A18" s="2"/>
      <c r="B18" s="2"/>
      <c r="C18" s="2"/>
      <c r="D18" s="2"/>
      <c r="E18" s="2"/>
      <c r="F18" s="2"/>
      <c r="G18" s="2"/>
      <c r="H18" s="2"/>
      <c r="I18" s="2"/>
      <c r="J18" s="2"/>
      <c r="K18" s="2"/>
      <c r="L18" s="2"/>
      <c r="M18" s="2"/>
      <c r="N18" s="2"/>
      <c r="O18" s="2"/>
      <c r="P18" s="2"/>
      <c r="Q18" s="2"/>
      <c r="R18" s="2"/>
    </row>
    <row r="19" spans="1:18">
      <c r="A19" s="2"/>
      <c r="B19" s="2"/>
      <c r="C19" s="2"/>
      <c r="D19" s="2"/>
      <c r="E19" s="2"/>
      <c r="F19" s="2"/>
      <c r="G19" s="2"/>
      <c r="H19" s="2"/>
      <c r="I19" s="2"/>
      <c r="J19" s="2"/>
      <c r="K19" s="2"/>
      <c r="L19" s="2"/>
      <c r="M19" s="2"/>
      <c r="N19" s="2"/>
      <c r="O19" s="2"/>
      <c r="P19" s="2"/>
      <c r="Q19" s="2"/>
      <c r="R19" s="2"/>
    </row>
    <row r="20" spans="1:18">
      <c r="A20" s="2"/>
      <c r="B20" s="2"/>
      <c r="C20" s="2"/>
      <c r="D20" s="2"/>
      <c r="E20" s="2"/>
      <c r="F20" s="2"/>
      <c r="G20" s="2"/>
      <c r="H20" s="2"/>
      <c r="I20" s="2"/>
      <c r="J20" s="2"/>
      <c r="K20" s="2"/>
      <c r="L20" s="2"/>
      <c r="M20" s="2"/>
      <c r="N20" s="2"/>
      <c r="O20" s="2"/>
      <c r="P20" s="2"/>
      <c r="Q20" s="2"/>
      <c r="R20" s="2"/>
    </row>
    <row r="21" spans="1:18">
      <c r="A21" s="2"/>
      <c r="B21" s="2"/>
      <c r="C21" s="2"/>
      <c r="D21" s="2"/>
      <c r="E21" s="2"/>
      <c r="F21" s="2"/>
      <c r="G21" s="2"/>
      <c r="H21" s="2"/>
      <c r="I21" s="2"/>
      <c r="J21" s="2"/>
      <c r="K21" s="2"/>
      <c r="L21" s="2"/>
      <c r="M21" s="2"/>
      <c r="N21" s="2"/>
      <c r="O21" s="2"/>
      <c r="P21" s="2"/>
      <c r="Q21" s="2"/>
      <c r="R21" s="2"/>
    </row>
    <row r="22" spans="1:18">
      <c r="A22" s="2"/>
      <c r="B22" s="2"/>
      <c r="C22" s="2"/>
      <c r="D22" s="2"/>
      <c r="E22" s="2"/>
      <c r="F22" s="2"/>
      <c r="G22" s="2"/>
      <c r="H22" s="2"/>
      <c r="I22" s="2"/>
      <c r="J22" s="2"/>
      <c r="K22" s="2"/>
      <c r="L22" s="2"/>
      <c r="M22" s="2"/>
      <c r="N22" s="2"/>
      <c r="O22" s="2"/>
      <c r="P22" s="2"/>
      <c r="Q22" s="2"/>
      <c r="R22" s="2"/>
    </row>
    <row r="23" spans="1:18">
      <c r="A23" s="2"/>
      <c r="B23" s="2"/>
      <c r="C23" s="2"/>
      <c r="D23" s="2"/>
      <c r="E23" s="2"/>
      <c r="F23" s="2"/>
      <c r="G23" s="2"/>
      <c r="H23" s="2"/>
      <c r="I23" s="2"/>
      <c r="J23" s="2"/>
      <c r="K23" s="2"/>
      <c r="L23" s="2"/>
      <c r="M23" s="2"/>
      <c r="N23" s="2"/>
      <c r="O23" s="2"/>
      <c r="P23" s="2"/>
      <c r="Q23" s="2"/>
      <c r="R23" s="2"/>
    </row>
    <row r="24" spans="1:18">
      <c r="Q24" s="2"/>
      <c r="R24" s="2"/>
    </row>
  </sheetData>
  <sheetProtection algorithmName="SHA-512" hashValue="8AAL0H3Qip0A3+1xlIu5+Mtbx9vXdbqwMPKaHZhVsOTQhcjTRavXFIGfnKv0B4nyGosQisteRB7uyF4sWeNEOA==" saltValue="H91p4bvO6rm/jJnMDsyB3A==" spinCount="100000" sheet="1" objects="1" scenarios="1" formatCells="0"/>
  <dataValidations count="2">
    <dataValidation type="whole" operator="greaterThan" allowBlank="1" showInputMessage="1" showErrorMessage="1" sqref="B3" xr:uid="{B0751DA7-8C52-46D4-A9A6-9AAD1F39F91F}">
      <formula1>0</formula1>
    </dataValidation>
    <dataValidation type="whole" allowBlank="1" showInputMessage="1" showErrorMessage="1" sqref="B2" xr:uid="{C1E024E7-D370-4C04-ACC5-E59D76D628DC}">
      <formula1>1</formula1>
      <formula2>440</formula2>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40EC-229F-4C19-83CA-5073584DFF50}">
  <sheetPr codeName="Sheet4"/>
  <dimension ref="A1:J29"/>
  <sheetViews>
    <sheetView topLeftCell="A12" zoomScale="85" zoomScaleNormal="85" workbookViewId="0">
      <selection activeCell="H12" sqref="H12"/>
    </sheetView>
  </sheetViews>
  <sheetFormatPr defaultRowHeight="15"/>
  <cols>
    <col min="1" max="1" width="50" customWidth="1"/>
  </cols>
  <sheetData>
    <row r="1" spans="1:10" ht="30" customHeight="1">
      <c r="A1" s="317" t="s">
        <v>602</v>
      </c>
      <c r="B1" s="317"/>
      <c r="C1" s="317"/>
      <c r="D1" s="317"/>
      <c r="E1" s="317"/>
      <c r="F1" s="317"/>
      <c r="G1" s="317"/>
      <c r="H1" s="2"/>
      <c r="I1" s="2"/>
      <c r="J1" s="2"/>
    </row>
    <row r="2" spans="1:10">
      <c r="A2" s="319" t="s">
        <v>603</v>
      </c>
      <c r="B2" s="319"/>
      <c r="C2" s="319"/>
      <c r="D2" s="319"/>
      <c r="E2" s="319"/>
      <c r="F2" s="319"/>
      <c r="G2" s="319"/>
      <c r="H2" s="2"/>
      <c r="I2" s="2"/>
      <c r="J2" s="2"/>
    </row>
    <row r="3" spans="1:10">
      <c r="A3" s="12"/>
      <c r="B3" s="12"/>
      <c r="C3" s="12"/>
      <c r="D3" s="12"/>
      <c r="E3" s="12"/>
      <c r="F3" s="12"/>
      <c r="G3" s="12"/>
      <c r="H3" s="2"/>
      <c r="I3" s="2"/>
      <c r="J3" s="2"/>
    </row>
    <row r="4" spans="1:10">
      <c r="A4" s="7" t="s">
        <v>604</v>
      </c>
      <c r="B4" s="25" t="s">
        <v>605</v>
      </c>
      <c r="C4" s="2"/>
      <c r="D4" s="2"/>
      <c r="E4" s="2"/>
      <c r="F4" s="2"/>
      <c r="G4" s="2"/>
      <c r="H4" s="2"/>
      <c r="I4" s="2"/>
      <c r="J4" s="2"/>
    </row>
    <row r="5" spans="1:10" ht="120" customHeight="1">
      <c r="A5" s="26" t="s">
        <v>606</v>
      </c>
      <c r="B5" s="322" t="s">
        <v>607</v>
      </c>
      <c r="C5" s="322"/>
      <c r="D5" s="322"/>
      <c r="E5" s="322"/>
      <c r="F5" s="322"/>
      <c r="G5" s="322"/>
      <c r="H5" s="2"/>
      <c r="I5" s="2"/>
      <c r="J5" s="2"/>
    </row>
    <row r="6" spans="1:10">
      <c r="A6" s="7"/>
      <c r="B6" s="2"/>
      <c r="C6" s="2"/>
      <c r="D6" s="2"/>
      <c r="E6" s="2"/>
      <c r="F6" s="2"/>
      <c r="G6" s="2"/>
      <c r="H6" s="2"/>
      <c r="I6" s="2"/>
      <c r="J6" s="2"/>
    </row>
    <row r="7" spans="1:10">
      <c r="A7" s="7" t="s">
        <v>608</v>
      </c>
      <c r="B7" s="2" t="s">
        <v>609</v>
      </c>
      <c r="C7" s="2"/>
      <c r="D7" s="2"/>
      <c r="E7" s="2"/>
      <c r="F7" s="2"/>
      <c r="G7" s="2"/>
      <c r="H7" s="2"/>
      <c r="I7" s="2"/>
      <c r="J7" s="2"/>
    </row>
    <row r="8" spans="1:10">
      <c r="A8" s="7" t="s">
        <v>610</v>
      </c>
      <c r="B8" s="2">
        <v>44</v>
      </c>
      <c r="C8" s="2"/>
      <c r="D8" s="2" t="s">
        <v>611</v>
      </c>
      <c r="E8" s="2"/>
      <c r="F8" s="2"/>
      <c r="G8" s="2"/>
      <c r="H8" s="2"/>
      <c r="I8" s="2"/>
      <c r="J8" s="2"/>
    </row>
    <row r="9" spans="1:10">
      <c r="A9" s="7"/>
      <c r="B9" s="2"/>
      <c r="C9" s="2"/>
      <c r="D9" s="2"/>
      <c r="E9" s="2"/>
      <c r="F9" s="2"/>
      <c r="G9" s="2"/>
      <c r="H9" s="2"/>
      <c r="I9" s="2"/>
      <c r="J9" s="2"/>
    </row>
    <row r="10" spans="1:10">
      <c r="A10" s="7" t="s">
        <v>612</v>
      </c>
      <c r="B10" s="1" t="s">
        <v>613</v>
      </c>
      <c r="C10" s="2"/>
      <c r="D10" s="2"/>
      <c r="E10" s="2"/>
      <c r="F10" s="2"/>
      <c r="G10" s="2"/>
      <c r="H10" s="2"/>
      <c r="I10" s="2"/>
      <c r="J10" s="2"/>
    </row>
    <row r="11" spans="1:10">
      <c r="A11" s="7" t="s">
        <v>614</v>
      </c>
      <c r="B11" s="2">
        <f>TLAR!B40</f>
        <v>2</v>
      </c>
      <c r="C11" s="2"/>
      <c r="D11" s="2"/>
      <c r="E11" s="2"/>
      <c r="F11" s="2"/>
      <c r="G11" s="2"/>
      <c r="H11" s="2"/>
      <c r="I11" s="2"/>
      <c r="J11" s="2"/>
    </row>
    <row r="12" spans="1:10" ht="120" customHeight="1">
      <c r="A12" s="26" t="s">
        <v>606</v>
      </c>
      <c r="B12" s="322" t="s">
        <v>615</v>
      </c>
      <c r="C12" s="322"/>
      <c r="D12" s="322"/>
      <c r="E12" s="322"/>
      <c r="F12" s="322"/>
      <c r="G12" s="322"/>
      <c r="H12" s="2"/>
      <c r="I12" s="2"/>
      <c r="J12" s="2"/>
    </row>
    <row r="13" spans="1:10">
      <c r="A13" s="7" t="s">
        <v>616</v>
      </c>
      <c r="B13" s="25" t="s">
        <v>617</v>
      </c>
      <c r="C13" s="2"/>
      <c r="D13" s="2"/>
      <c r="E13" s="2"/>
      <c r="F13" s="2"/>
      <c r="G13" s="2"/>
      <c r="H13" s="2"/>
      <c r="I13" s="2"/>
      <c r="J13" s="2"/>
    </row>
    <row r="14" spans="1:10" ht="120" customHeight="1">
      <c r="A14" s="26" t="s">
        <v>606</v>
      </c>
      <c r="B14" s="322" t="s">
        <v>618</v>
      </c>
      <c r="C14" s="322"/>
      <c r="D14" s="322"/>
      <c r="E14" s="322"/>
      <c r="F14" s="322"/>
      <c r="G14" s="322"/>
      <c r="H14" s="2"/>
      <c r="I14" s="2"/>
      <c r="J14" s="2"/>
    </row>
    <row r="15" spans="1:10" ht="120" customHeight="1">
      <c r="A15" s="27" t="s">
        <v>619</v>
      </c>
      <c r="B15" s="322" t="s">
        <v>620</v>
      </c>
      <c r="C15" s="322"/>
      <c r="D15" s="322"/>
      <c r="E15" s="322"/>
      <c r="F15" s="322"/>
      <c r="G15" s="322"/>
      <c r="H15" s="2"/>
      <c r="I15" s="2"/>
      <c r="J15" s="2"/>
    </row>
    <row r="16" spans="1:10" ht="120" customHeight="1">
      <c r="A16" s="27" t="s">
        <v>621</v>
      </c>
      <c r="B16" s="322"/>
      <c r="C16" s="322"/>
      <c r="D16" s="322"/>
      <c r="E16" s="322"/>
      <c r="F16" s="322"/>
      <c r="G16" s="322"/>
      <c r="H16" s="2"/>
      <c r="I16" s="2"/>
      <c r="J16" s="2"/>
    </row>
    <row r="17" spans="1:10">
      <c r="A17" s="7"/>
      <c r="B17" s="2"/>
      <c r="C17" s="2"/>
      <c r="D17" s="2"/>
      <c r="E17" s="2"/>
      <c r="F17" s="2"/>
      <c r="G17" s="2"/>
      <c r="H17" s="2"/>
      <c r="I17" s="2"/>
      <c r="J17" s="2"/>
    </row>
    <row r="18" spans="1:10">
      <c r="A18" s="7" t="s">
        <v>622</v>
      </c>
      <c r="B18" s="1" t="s">
        <v>623</v>
      </c>
      <c r="C18" s="2"/>
      <c r="D18" s="2"/>
      <c r="E18" s="2"/>
      <c r="F18" s="2"/>
      <c r="G18" s="2"/>
      <c r="H18" s="2"/>
      <c r="I18" s="2"/>
      <c r="J18" s="2"/>
    </row>
    <row r="19" spans="1:10">
      <c r="A19" s="7" t="s">
        <v>624</v>
      </c>
      <c r="B19" s="1" t="s">
        <v>625</v>
      </c>
      <c r="C19" s="2"/>
      <c r="D19" s="2"/>
      <c r="E19" s="2"/>
      <c r="F19" s="2"/>
      <c r="G19" s="2"/>
      <c r="H19" s="2"/>
      <c r="I19" s="2"/>
      <c r="J19" s="2"/>
    </row>
    <row r="20" spans="1:10">
      <c r="A20" s="7" t="s">
        <v>626</v>
      </c>
      <c r="B20" s="25" t="s">
        <v>627</v>
      </c>
      <c r="C20" s="2"/>
      <c r="D20" s="2"/>
      <c r="E20" s="2"/>
      <c r="F20" s="2"/>
      <c r="G20" s="2"/>
      <c r="H20" s="2"/>
      <c r="I20" s="2"/>
      <c r="J20" s="2"/>
    </row>
    <row r="21" spans="1:10" ht="120" customHeight="1">
      <c r="A21" s="26" t="s">
        <v>446</v>
      </c>
      <c r="B21" s="322" t="s">
        <v>628</v>
      </c>
      <c r="C21" s="322"/>
      <c r="D21" s="322"/>
      <c r="E21" s="322"/>
      <c r="F21" s="322"/>
      <c r="G21" s="322"/>
      <c r="H21" s="2"/>
      <c r="I21" s="2"/>
      <c r="J21" s="2"/>
    </row>
    <row r="22" spans="1:10" ht="120" customHeight="1">
      <c r="A22" s="27" t="s">
        <v>629</v>
      </c>
      <c r="B22" s="322"/>
      <c r="C22" s="322"/>
      <c r="D22" s="322"/>
      <c r="E22" s="322"/>
      <c r="F22" s="322"/>
      <c r="G22" s="322"/>
      <c r="H22" s="2"/>
      <c r="I22" s="2"/>
      <c r="J22" s="2"/>
    </row>
    <row r="23" spans="1:10">
      <c r="A23" s="20"/>
      <c r="B23" s="2"/>
      <c r="C23" s="2"/>
      <c r="D23" s="2"/>
      <c r="E23" s="2"/>
      <c r="F23" s="2"/>
      <c r="G23" s="2"/>
      <c r="H23" s="2"/>
      <c r="I23" s="2"/>
      <c r="J23" s="2"/>
    </row>
    <row r="24" spans="1:10">
      <c r="A24" s="7" t="s">
        <v>630</v>
      </c>
      <c r="B24" s="25" t="s">
        <v>631</v>
      </c>
      <c r="C24" s="2"/>
      <c r="D24" s="2"/>
      <c r="E24" s="2"/>
      <c r="F24" s="2"/>
      <c r="G24" s="2"/>
      <c r="H24" s="2"/>
      <c r="I24" s="2"/>
      <c r="J24" s="2"/>
    </row>
    <row r="25" spans="1:10" ht="120" customHeight="1">
      <c r="A25" s="27" t="s">
        <v>606</v>
      </c>
      <c r="B25" s="322" t="s">
        <v>632</v>
      </c>
      <c r="C25" s="322"/>
      <c r="D25" s="322"/>
      <c r="E25" s="322"/>
      <c r="F25" s="322"/>
      <c r="G25" s="322"/>
      <c r="H25" s="2"/>
      <c r="I25" s="2"/>
      <c r="J25" s="2"/>
    </row>
    <row r="26" spans="1:10" ht="120" customHeight="1">
      <c r="A26" s="27" t="s">
        <v>633</v>
      </c>
      <c r="B26" s="322"/>
      <c r="C26" s="322"/>
      <c r="D26" s="322"/>
      <c r="E26" s="322"/>
      <c r="F26" s="322"/>
      <c r="G26" s="32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sheetData>
  <sheetProtection algorithmName="SHA-512" hashValue="CqlXtYj3cC4mjgw79I0vhy8ap8pqtHnJgv+J3L98TaIAT9IitOrh1GiklkyY+zZLvFIY43V+suIsNtfMy04RcA==" saltValue="e7C+SzTRC78xq0FmMozdcw==" spinCount="100000" sheet="1" objects="1" scenarios="1" formatCells="0"/>
  <mergeCells count="11">
    <mergeCell ref="B25:G25"/>
    <mergeCell ref="B26:G26"/>
    <mergeCell ref="B22:G22"/>
    <mergeCell ref="B16:G16"/>
    <mergeCell ref="B15:G15"/>
    <mergeCell ref="B21:G21"/>
    <mergeCell ref="A1:G1"/>
    <mergeCell ref="A2:G2"/>
    <mergeCell ref="B14:G14"/>
    <mergeCell ref="B5:G5"/>
    <mergeCell ref="B12:G12"/>
  </mergeCell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D9D69E33-AC1D-4FC3-ACFB-3DFBE844B99E}">
          <x14:formula1>
            <xm:f>Sheet2!$D$20:$D$22</xm:f>
          </x14:formula1>
          <xm:sqref>B4</xm:sqref>
        </x14:dataValidation>
        <x14:dataValidation type="list" allowBlank="1" showInputMessage="1" showErrorMessage="1" xr:uid="{0150E0FC-FCD1-449A-B46D-30B517D6C241}">
          <x14:formula1>
            <xm:f>Sheet2!$F$13:$F$15</xm:f>
          </x14:formula1>
          <xm:sqref>B7</xm:sqref>
        </x14:dataValidation>
        <x14:dataValidation type="list" allowBlank="1" showInputMessage="1" showErrorMessage="1" xr:uid="{89C761D2-4F8F-4F4D-9D62-CB92BD641887}">
          <x14:formula1>
            <xm:f>Sheet2!$C$13:$C$14</xm:f>
          </x14:formula1>
          <xm:sqref>B10</xm:sqref>
        </x14:dataValidation>
        <x14:dataValidation type="list" allowBlank="1" showInputMessage="1" showErrorMessage="1" xr:uid="{3185F60C-18E2-4601-847E-41F1B9C4F0AF}">
          <x14:formula1>
            <xm:f>Sheet2!$F$18:$F$25</xm:f>
          </x14:formula1>
          <xm:sqref>B13</xm:sqref>
        </x14:dataValidation>
        <x14:dataValidation type="list" allowBlank="1" showInputMessage="1" showErrorMessage="1" xr:uid="{CA784600-0296-4209-B398-3F77E05CD94B}">
          <x14:formula1>
            <xm:f>Sheet2!$C$27:$C$28</xm:f>
          </x14:formula1>
          <xm:sqref>B20</xm:sqref>
        </x14:dataValidation>
        <x14:dataValidation type="list" allowBlank="1" showInputMessage="1" showErrorMessage="1" xr:uid="{49E418FD-9B44-4865-8F83-8A42B4306209}">
          <x14:formula1>
            <xm:f>Sheet2!$C$30:$C$31</xm:f>
          </x14:formula1>
          <xm:sqref>B19</xm:sqref>
        </x14:dataValidation>
        <x14:dataValidation type="list" allowBlank="1" showInputMessage="1" showErrorMessage="1" xr:uid="{0A58D574-B757-4497-858B-72A8F3260A02}">
          <x14:formula1>
            <xm:f>Sheet2!$C$33:$C$35</xm:f>
          </x14:formula1>
          <xm:sqref>B18</xm:sqref>
        </x14:dataValidation>
        <x14:dataValidation type="list" allowBlank="1" showInputMessage="1" showErrorMessage="1" xr:uid="{16148711-5809-430E-B402-B9B730D685CC}">
          <x14:formula1>
            <xm:f>Sheet2!$F$28:$F$36</xm:f>
          </x14:formula1>
          <xm:sqref>B24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77A6-37C4-4BC9-83A6-EEE85170BB56}">
  <sheetPr codeName="Sheet6"/>
  <dimension ref="A1:G44"/>
  <sheetViews>
    <sheetView zoomScaleNormal="100" workbookViewId="0">
      <selection activeCell="I28" sqref="I28"/>
    </sheetView>
  </sheetViews>
  <sheetFormatPr defaultRowHeight="15"/>
  <cols>
    <col min="1" max="1" width="16.28515625" customWidth="1"/>
    <col min="2" max="2" width="44.7109375" customWidth="1"/>
    <col min="3" max="3" width="19.7109375" bestFit="1" customWidth="1"/>
    <col min="4" max="4" width="18.28515625" customWidth="1"/>
  </cols>
  <sheetData>
    <row r="1" spans="1:7" ht="30" customHeight="1">
      <c r="A1" s="308" t="s">
        <v>634</v>
      </c>
      <c r="B1" s="308"/>
      <c r="C1" s="308"/>
      <c r="D1" s="308"/>
      <c r="E1" s="308"/>
      <c r="F1" s="308"/>
      <c r="G1" s="308"/>
    </row>
    <row r="2" spans="1:7">
      <c r="A2" s="323" t="s">
        <v>635</v>
      </c>
      <c r="B2" s="323"/>
      <c r="C2" s="323"/>
      <c r="D2" s="323"/>
      <c r="E2" s="323"/>
      <c r="F2" s="323"/>
      <c r="G2" s="323"/>
    </row>
    <row r="3" spans="1:7">
      <c r="A3" s="2"/>
      <c r="B3" s="2"/>
      <c r="C3" s="2"/>
      <c r="D3" s="2"/>
      <c r="E3" s="2"/>
      <c r="F3" s="2"/>
      <c r="G3" s="2"/>
    </row>
    <row r="4" spans="1:7">
      <c r="A4" s="7" t="s">
        <v>575</v>
      </c>
      <c r="B4" s="7"/>
      <c r="C4" s="2"/>
      <c r="D4" s="2"/>
      <c r="E4" s="2"/>
      <c r="F4" s="2"/>
      <c r="G4" s="2"/>
    </row>
    <row r="5" spans="1:7">
      <c r="A5" s="37" t="s">
        <v>636</v>
      </c>
      <c r="B5" s="2"/>
      <c r="C5" s="2"/>
      <c r="D5" s="2"/>
      <c r="E5" s="2"/>
      <c r="F5" s="2"/>
      <c r="G5" s="2"/>
    </row>
    <row r="6" spans="1:7">
      <c r="A6" s="2" t="s">
        <v>637</v>
      </c>
      <c r="B6" s="2"/>
      <c r="C6" s="2"/>
      <c r="D6" s="140">
        <v>8.8495787569999997</v>
      </c>
      <c r="E6" s="2" t="s">
        <v>331</v>
      </c>
      <c r="F6" s="2"/>
      <c r="G6" s="2"/>
    </row>
    <row r="7" spans="1:7">
      <c r="A7" s="2" t="s">
        <v>638</v>
      </c>
      <c r="B7" s="2"/>
      <c r="C7" s="2"/>
      <c r="D7" s="2"/>
      <c r="E7" s="2"/>
      <c r="F7" s="2"/>
      <c r="G7" s="2"/>
    </row>
    <row r="8" spans="1:7" ht="60" customHeight="1">
      <c r="A8" s="308" t="s">
        <v>639</v>
      </c>
      <c r="B8" s="310"/>
      <c r="C8" s="309" t="s">
        <v>640</v>
      </c>
      <c r="D8" s="309"/>
      <c r="E8" s="309"/>
      <c r="F8" s="309"/>
      <c r="G8" s="33"/>
    </row>
    <row r="9" spans="1:7" ht="60" customHeight="1">
      <c r="A9" s="308" t="s">
        <v>641</v>
      </c>
      <c r="B9" s="310"/>
      <c r="C9" s="309" t="s">
        <v>642</v>
      </c>
      <c r="D9" s="309"/>
      <c r="E9" s="309"/>
      <c r="F9" s="309"/>
      <c r="G9" s="2"/>
    </row>
    <row r="10" spans="1:7" ht="60" customHeight="1">
      <c r="A10" s="308" t="s">
        <v>643</v>
      </c>
      <c r="B10" s="310"/>
      <c r="C10" s="309" t="s">
        <v>644</v>
      </c>
      <c r="D10" s="309"/>
      <c r="E10" s="309"/>
      <c r="F10" s="309"/>
      <c r="G10" s="2"/>
    </row>
    <row r="11" spans="1:7" ht="60" customHeight="1">
      <c r="A11" s="308" t="s">
        <v>645</v>
      </c>
      <c r="B11" s="310"/>
      <c r="C11" s="309" t="s">
        <v>646</v>
      </c>
      <c r="D11" s="309"/>
      <c r="E11" s="309"/>
      <c r="F11" s="309"/>
      <c r="G11" s="2"/>
    </row>
    <row r="12" spans="1:7">
      <c r="A12" s="2"/>
      <c r="B12" s="2"/>
      <c r="C12" s="2"/>
      <c r="D12" s="2"/>
      <c r="E12" s="2"/>
      <c r="F12" s="2"/>
      <c r="G12" s="2"/>
    </row>
    <row r="13" spans="1:7">
      <c r="A13" s="7" t="s">
        <v>576</v>
      </c>
      <c r="B13" s="2"/>
      <c r="C13" s="2"/>
      <c r="D13" s="2"/>
      <c r="E13" s="2"/>
      <c r="F13" s="2"/>
      <c r="G13" s="2"/>
    </row>
    <row r="14" spans="1:7">
      <c r="A14" s="2" t="s">
        <v>647</v>
      </c>
      <c r="B14" s="2"/>
      <c r="C14" s="2"/>
      <c r="D14" s="2"/>
      <c r="E14" s="7" t="s">
        <v>1</v>
      </c>
      <c r="F14" s="2"/>
      <c r="G14" s="2"/>
    </row>
    <row r="15" spans="1:7">
      <c r="A15" s="324" t="s">
        <v>648</v>
      </c>
      <c r="B15" s="324"/>
      <c r="C15" s="324"/>
      <c r="D15" s="324"/>
      <c r="E15" s="324"/>
      <c r="F15" s="324"/>
      <c r="G15" s="324"/>
    </row>
    <row r="16" spans="1:7" ht="30" customHeight="1">
      <c r="A16" s="308" t="s">
        <v>649</v>
      </c>
      <c r="B16" s="308"/>
      <c r="C16" s="2"/>
      <c r="D16" s="178">
        <v>7</v>
      </c>
      <c r="E16" s="2" t="s">
        <v>331</v>
      </c>
      <c r="F16" s="2"/>
      <c r="G16" s="2"/>
    </row>
    <row r="17" spans="1:7">
      <c r="A17" s="2" t="s">
        <v>650</v>
      </c>
      <c r="B17" s="2"/>
      <c r="C17" s="2"/>
      <c r="D17" s="2"/>
      <c r="E17" s="2"/>
      <c r="F17" s="2"/>
      <c r="G17" s="2"/>
    </row>
    <row r="18" spans="1:7" ht="17.25">
      <c r="A18" s="2" t="s">
        <v>651</v>
      </c>
      <c r="B18" s="2"/>
      <c r="C18" s="2"/>
      <c r="D18" s="1"/>
      <c r="E18" s="2" t="s">
        <v>652</v>
      </c>
      <c r="F18" s="2"/>
      <c r="G18" s="2"/>
    </row>
    <row r="19" spans="1:7">
      <c r="A19" s="2" t="s">
        <v>653</v>
      </c>
      <c r="B19" s="2"/>
      <c r="C19" s="2"/>
      <c r="D19" s="178">
        <v>3.0999999999999999E-3</v>
      </c>
      <c r="E19" s="2" t="s">
        <v>331</v>
      </c>
      <c r="F19" s="2"/>
      <c r="G19" s="2"/>
    </row>
    <row r="20" spans="1:7">
      <c r="A20" s="2" t="s">
        <v>654</v>
      </c>
      <c r="B20" s="2"/>
      <c r="C20" s="2"/>
      <c r="D20" s="1">
        <f>D19*D16</f>
        <v>2.1700000000000001E-2</v>
      </c>
      <c r="E20" s="2" t="s">
        <v>331</v>
      </c>
      <c r="F20" s="2"/>
      <c r="G20" s="2"/>
    </row>
    <row r="21" spans="1:7">
      <c r="A21" s="2"/>
      <c r="B21" s="2"/>
      <c r="C21" s="2"/>
      <c r="D21" s="2"/>
      <c r="E21" s="2"/>
      <c r="F21" s="2"/>
      <c r="G21" s="2"/>
    </row>
    <row r="22" spans="1:7">
      <c r="A22" s="7" t="s">
        <v>655</v>
      </c>
      <c r="B22" s="2"/>
      <c r="C22" s="2"/>
      <c r="D22" s="2"/>
      <c r="E22" s="2"/>
      <c r="F22" s="2"/>
      <c r="G22" s="2"/>
    </row>
    <row r="23" spans="1:7">
      <c r="A23" s="2" t="s">
        <v>656</v>
      </c>
      <c r="B23" s="2"/>
      <c r="C23" s="2"/>
      <c r="D23" s="1">
        <v>7.4999999999999997E-3</v>
      </c>
      <c r="E23" s="2" t="s">
        <v>331</v>
      </c>
      <c r="F23" s="2"/>
      <c r="G23" s="2"/>
    </row>
    <row r="24" spans="1:7">
      <c r="A24" s="2" t="s">
        <v>657</v>
      </c>
      <c r="B24" s="2"/>
      <c r="C24" s="2"/>
      <c r="D24" s="1">
        <v>0.97</v>
      </c>
      <c r="E24" s="2" t="s">
        <v>331</v>
      </c>
      <c r="F24" s="2"/>
      <c r="G24" s="2"/>
    </row>
    <row r="25" spans="1:7" ht="30" customHeight="1">
      <c r="A25" s="308" t="s">
        <v>658</v>
      </c>
      <c r="B25" s="308"/>
      <c r="C25" s="2"/>
      <c r="D25" s="84">
        <f>0.5*SQRT((PI()*D6*D26)/D20)</f>
        <v>16.075460496418906</v>
      </c>
      <c r="E25" s="2" t="s">
        <v>331</v>
      </c>
      <c r="F25" s="2"/>
      <c r="G25" s="2"/>
    </row>
    <row r="26" spans="1:7" ht="30" customHeight="1">
      <c r="A26" s="308" t="s">
        <v>659</v>
      </c>
      <c r="B26" s="308"/>
      <c r="C26" s="2"/>
      <c r="D26" s="82">
        <f>1/(PI()*D6*D23+1/D24)</f>
        <v>0.80681525095933448</v>
      </c>
      <c r="E26" s="2" t="s">
        <v>331</v>
      </c>
      <c r="F26" s="2"/>
      <c r="G26" s="2"/>
    </row>
    <row r="27" spans="1:7">
      <c r="A27" s="2"/>
      <c r="B27" s="2"/>
      <c r="C27" s="2"/>
      <c r="D27" s="2"/>
      <c r="E27" s="2"/>
      <c r="F27" s="2"/>
      <c r="G27" s="2"/>
    </row>
    <row r="28" spans="1:7">
      <c r="A28" s="7" t="s">
        <v>660</v>
      </c>
      <c r="B28" s="2"/>
      <c r="C28" s="2"/>
      <c r="D28" s="2"/>
      <c r="E28" s="2"/>
      <c r="F28" s="2"/>
      <c r="G28" s="2"/>
    </row>
    <row r="29" spans="1:7">
      <c r="A29" s="2" t="s">
        <v>661</v>
      </c>
      <c r="B29" s="2"/>
      <c r="C29" s="2"/>
      <c r="D29" s="1"/>
      <c r="E29" s="2" t="s">
        <v>331</v>
      </c>
      <c r="F29" s="2"/>
      <c r="G29" s="2"/>
    </row>
    <row r="30" spans="1:7">
      <c r="A30" s="2" t="s">
        <v>662</v>
      </c>
      <c r="B30" s="2"/>
      <c r="C30" s="2"/>
      <c r="D30" s="1"/>
      <c r="E30" s="2" t="s">
        <v>331</v>
      </c>
      <c r="F30" s="2"/>
      <c r="G30" s="2"/>
    </row>
    <row r="31" spans="1:7">
      <c r="A31" s="2" t="s">
        <v>663</v>
      </c>
      <c r="B31" s="2"/>
      <c r="C31" s="2"/>
      <c r="D31" s="177">
        <v>5</v>
      </c>
      <c r="E31" s="2" t="s">
        <v>331</v>
      </c>
      <c r="F31" s="2"/>
      <c r="G31" s="2"/>
    </row>
    <row r="32" spans="1:7">
      <c r="A32" s="2" t="s">
        <v>664</v>
      </c>
      <c r="B32" s="2"/>
      <c r="C32" s="2"/>
      <c r="D32" s="1"/>
      <c r="E32" s="2" t="s">
        <v>331</v>
      </c>
      <c r="F32" s="2"/>
      <c r="G32" s="2"/>
    </row>
    <row r="33" spans="1:7">
      <c r="A33" s="2"/>
      <c r="B33" s="2"/>
      <c r="C33" s="2"/>
      <c r="D33" s="2"/>
      <c r="E33" s="2"/>
      <c r="F33" s="2"/>
      <c r="G33" s="2"/>
    </row>
    <row r="34" spans="1:7">
      <c r="A34" s="7" t="s">
        <v>665</v>
      </c>
      <c r="B34" s="2"/>
      <c r="C34" s="2"/>
      <c r="D34" s="2"/>
      <c r="E34" s="2"/>
      <c r="F34" s="2"/>
      <c r="G34" s="2"/>
    </row>
    <row r="35" spans="1:7">
      <c r="A35" s="2" t="s">
        <v>666</v>
      </c>
      <c r="B35" s="2"/>
      <c r="C35" s="2"/>
      <c r="D35" s="1">
        <v>40</v>
      </c>
      <c r="E35" s="2" t="s">
        <v>444</v>
      </c>
      <c r="F35" s="2"/>
      <c r="G35" s="2"/>
    </row>
    <row r="36" spans="1:7">
      <c r="A36" s="2" t="s">
        <v>667</v>
      </c>
      <c r="B36" s="2"/>
      <c r="D36" s="1">
        <v>20</v>
      </c>
      <c r="E36" s="2" t="s">
        <v>444</v>
      </c>
      <c r="F36" s="2"/>
      <c r="G36" s="2"/>
    </row>
    <row r="37" spans="1:7">
      <c r="A37" s="2" t="s">
        <v>668</v>
      </c>
      <c r="B37" s="2"/>
      <c r="C37" s="2"/>
      <c r="D37" s="2"/>
      <c r="E37" s="2"/>
      <c r="F37" s="2"/>
      <c r="G37" s="2"/>
    </row>
    <row r="38" spans="1:7">
      <c r="A38" s="29" t="s">
        <v>669</v>
      </c>
      <c r="B38" s="29" t="s">
        <v>670</v>
      </c>
      <c r="C38" s="29" t="s">
        <v>671</v>
      </c>
      <c r="D38" s="29" t="s">
        <v>672</v>
      </c>
      <c r="E38" s="29" t="s">
        <v>673</v>
      </c>
      <c r="F38" s="2"/>
      <c r="G38" s="2"/>
    </row>
    <row r="39" spans="1:7">
      <c r="A39" s="2" t="s">
        <v>674</v>
      </c>
      <c r="B39" s="2" t="s">
        <v>675</v>
      </c>
      <c r="C39" s="1">
        <v>0</v>
      </c>
      <c r="D39" s="1">
        <f>D20+0.0013*C39</f>
        <v>2.1700000000000001E-2</v>
      </c>
      <c r="E39" s="82">
        <f>D26</f>
        <v>0.80681525095933448</v>
      </c>
      <c r="F39" s="2"/>
      <c r="G39" s="2"/>
    </row>
    <row r="40" spans="1:7">
      <c r="A40" s="2" t="s">
        <v>674</v>
      </c>
      <c r="B40" s="2" t="s">
        <v>676</v>
      </c>
      <c r="C40" s="1">
        <v>0</v>
      </c>
      <c r="D40" s="1">
        <f>D20+0.0013*C40+0.02</f>
        <v>4.1700000000000001E-2</v>
      </c>
      <c r="E40" s="82">
        <f>D26</f>
        <v>0.80681525095933448</v>
      </c>
      <c r="F40" s="2"/>
      <c r="G40" s="2"/>
    </row>
    <row r="41" spans="1:7">
      <c r="A41" s="2" t="s">
        <v>518</v>
      </c>
      <c r="B41" s="2" t="s">
        <v>675</v>
      </c>
      <c r="C41" s="1">
        <v>20</v>
      </c>
      <c r="D41" s="1">
        <f>D20+0.0013*C41</f>
        <v>4.7699999999999999E-2</v>
      </c>
      <c r="E41" s="82">
        <f>0.0046*C41+D26</f>
        <v>0.89881525095933446</v>
      </c>
      <c r="F41" s="2"/>
      <c r="G41" s="2"/>
    </row>
    <row r="42" spans="1:7">
      <c r="A42" s="2" t="s">
        <v>518</v>
      </c>
      <c r="B42" s="2" t="s">
        <v>676</v>
      </c>
      <c r="C42" s="1">
        <v>20</v>
      </c>
      <c r="D42" s="1">
        <f>D20+0.0013*C42+0.02</f>
        <v>6.7699999999999996E-2</v>
      </c>
      <c r="E42" s="82">
        <f>0.0046*C42+D26</f>
        <v>0.89881525095933446</v>
      </c>
      <c r="F42" s="2"/>
      <c r="G42" s="2"/>
    </row>
    <row r="43" spans="1:7">
      <c r="A43" s="2" t="s">
        <v>533</v>
      </c>
      <c r="B43" s="2" t="s">
        <v>675</v>
      </c>
      <c r="C43" s="1">
        <v>40</v>
      </c>
      <c r="D43" s="1">
        <f>D20+0.0013*C43</f>
        <v>7.3700000000000002E-2</v>
      </c>
      <c r="E43" s="82">
        <f>0.0046*C43+D26</f>
        <v>0.99081525095933443</v>
      </c>
      <c r="F43" s="2"/>
      <c r="G43" s="2"/>
    </row>
    <row r="44" spans="1:7">
      <c r="A44" s="2" t="s">
        <v>533</v>
      </c>
      <c r="B44" s="2" t="s">
        <v>676</v>
      </c>
      <c r="C44" s="1">
        <v>40</v>
      </c>
      <c r="D44" s="1">
        <f>D20+0.0013*C44+0.02</f>
        <v>9.3700000000000006E-2</v>
      </c>
      <c r="E44" s="82">
        <f>0.0046*C44+D26</f>
        <v>0.99081525095933443</v>
      </c>
      <c r="F44" s="2"/>
      <c r="G44" s="2"/>
    </row>
  </sheetData>
  <sheetProtection algorithmName="SHA-512" hashValue="0VL3Vkm2dIJXSrgm39vuhF2Tvxksg+Dtw293ASpKtYsR6irr6kiwwLr/ccbrVSOGU2/KyOJPXHz9BOYwnMIQWg==" saltValue="Zt961gDI/nfNEe2LU3Uh3g==" spinCount="100000" sheet="1" objects="1" scenarios="1" formatCells="0"/>
  <mergeCells count="14">
    <mergeCell ref="A16:B16"/>
    <mergeCell ref="A25:B25"/>
    <mergeCell ref="A26:B26"/>
    <mergeCell ref="A8:B8"/>
    <mergeCell ref="C9:F9"/>
    <mergeCell ref="C8:F8"/>
    <mergeCell ref="C10:F10"/>
    <mergeCell ref="C11:F11"/>
    <mergeCell ref="A1:G1"/>
    <mergeCell ref="A2:G2"/>
    <mergeCell ref="A15:G15"/>
    <mergeCell ref="A9:B9"/>
    <mergeCell ref="A10:B10"/>
    <mergeCell ref="A11:B1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3669-6482-4F5F-89C3-F627C0CAA917}">
  <sheetPr codeName="Sheet7"/>
  <dimension ref="A1:R30"/>
  <sheetViews>
    <sheetView zoomScaleNormal="100" workbookViewId="0">
      <selection activeCell="C31" sqref="C31"/>
    </sheetView>
  </sheetViews>
  <sheetFormatPr defaultRowHeight="15"/>
  <cols>
    <col min="1" max="1" width="49.5703125" customWidth="1"/>
    <col min="2" max="2" width="10.42578125" customWidth="1"/>
  </cols>
  <sheetData>
    <row r="1" spans="1:18">
      <c r="A1" s="2" t="s">
        <v>677</v>
      </c>
      <c r="B1" s="2"/>
      <c r="C1" s="2"/>
      <c r="D1" s="2"/>
      <c r="E1" s="2"/>
      <c r="F1" s="2"/>
      <c r="G1" s="2"/>
      <c r="H1" s="2"/>
      <c r="I1" s="2"/>
      <c r="J1" s="2"/>
      <c r="K1" s="2"/>
      <c r="L1" s="2"/>
      <c r="M1" s="2"/>
      <c r="N1" s="2"/>
      <c r="O1" s="2"/>
      <c r="P1" s="2"/>
      <c r="Q1" s="2"/>
      <c r="R1" s="2"/>
    </row>
    <row r="2" spans="1:18">
      <c r="A2" s="2" t="s">
        <v>678</v>
      </c>
      <c r="B2" s="2"/>
      <c r="C2" s="2"/>
      <c r="D2" s="2"/>
      <c r="E2" s="2"/>
      <c r="F2" s="2"/>
      <c r="G2" s="2"/>
      <c r="H2" s="2"/>
      <c r="I2" s="2"/>
      <c r="J2" s="2"/>
      <c r="K2" s="2"/>
      <c r="L2" s="2"/>
      <c r="M2" s="2"/>
      <c r="N2" s="2"/>
      <c r="O2" s="2"/>
      <c r="P2" s="2"/>
      <c r="Q2" s="2"/>
      <c r="R2" s="2"/>
    </row>
    <row r="3" spans="1:18">
      <c r="A3" s="2"/>
      <c r="B3" s="2"/>
      <c r="C3" s="2"/>
      <c r="D3" s="2"/>
      <c r="E3" s="2"/>
      <c r="F3" s="2"/>
      <c r="G3" s="2"/>
      <c r="H3" s="2"/>
      <c r="I3" s="2"/>
      <c r="J3" s="2"/>
      <c r="K3" s="2"/>
      <c r="L3" s="2"/>
      <c r="M3" s="2"/>
      <c r="N3" s="2"/>
      <c r="O3" s="2"/>
      <c r="P3" s="2"/>
      <c r="Q3" s="2"/>
      <c r="R3" s="2"/>
    </row>
    <row r="4" spans="1:18">
      <c r="A4" s="7" t="s">
        <v>679</v>
      </c>
      <c r="B4" s="2"/>
      <c r="C4" s="7" t="s">
        <v>1</v>
      </c>
      <c r="D4" s="2"/>
      <c r="E4" s="2"/>
      <c r="F4" s="2"/>
      <c r="G4" s="2"/>
      <c r="H4" s="2"/>
      <c r="I4" s="2"/>
      <c r="J4" s="2"/>
      <c r="K4" s="2"/>
      <c r="L4" s="2"/>
      <c r="M4" s="2"/>
      <c r="N4" s="2"/>
      <c r="O4" s="2"/>
      <c r="P4" s="2"/>
      <c r="Q4" s="2"/>
      <c r="R4" s="2"/>
    </row>
    <row r="5" spans="1:18">
      <c r="A5" s="2" t="s">
        <v>680</v>
      </c>
      <c r="B5" s="82">
        <f>B18</f>
        <v>0.15578770413064361</v>
      </c>
      <c r="C5" s="2" t="s">
        <v>382</v>
      </c>
      <c r="D5" s="2"/>
      <c r="E5" s="2"/>
      <c r="F5" s="2"/>
      <c r="G5" s="2"/>
      <c r="H5" s="2"/>
      <c r="I5" s="2"/>
      <c r="J5" s="2"/>
      <c r="K5" s="2"/>
      <c r="L5" s="2"/>
      <c r="M5" s="2"/>
      <c r="N5" s="2"/>
      <c r="O5" s="2"/>
      <c r="P5" s="2"/>
      <c r="Q5" s="2"/>
      <c r="R5" s="2"/>
    </row>
    <row r="6" spans="1:18">
      <c r="A6" s="2"/>
      <c r="B6" s="2"/>
      <c r="C6" s="2"/>
      <c r="D6" s="2"/>
      <c r="E6" s="2"/>
      <c r="F6" s="2"/>
      <c r="G6" s="2"/>
      <c r="H6" s="2"/>
      <c r="I6" s="2"/>
      <c r="J6" s="2"/>
      <c r="K6" s="2"/>
      <c r="L6" s="2"/>
      <c r="M6" s="2"/>
      <c r="N6" s="2"/>
      <c r="O6" s="2"/>
      <c r="P6" s="2"/>
      <c r="Q6" s="2"/>
      <c r="R6" s="2"/>
    </row>
    <row r="7" spans="1:18">
      <c r="A7" s="7" t="s">
        <v>577</v>
      </c>
      <c r="B7" s="2"/>
      <c r="C7" s="2"/>
      <c r="D7" s="2"/>
      <c r="E7" s="2"/>
      <c r="F7" s="2"/>
      <c r="G7" s="2"/>
      <c r="H7" s="2"/>
      <c r="I7" s="2"/>
      <c r="J7" s="2"/>
      <c r="K7" s="2"/>
      <c r="L7" s="2"/>
      <c r="M7" s="2"/>
      <c r="N7" s="2"/>
      <c r="O7" s="2"/>
      <c r="P7" s="2"/>
      <c r="Q7" s="2"/>
      <c r="R7" s="2"/>
    </row>
    <row r="8" spans="1:18">
      <c r="A8" s="2" t="s">
        <v>681</v>
      </c>
      <c r="B8" s="2"/>
      <c r="C8" s="2"/>
      <c r="D8" s="2"/>
      <c r="E8" s="2"/>
      <c r="F8" s="2"/>
      <c r="G8" s="2"/>
      <c r="H8" s="2"/>
      <c r="I8" s="2"/>
      <c r="J8" s="2"/>
      <c r="K8" s="2"/>
      <c r="L8" s="2"/>
      <c r="M8" s="2"/>
      <c r="N8" s="2"/>
      <c r="O8" s="2"/>
      <c r="P8" s="2"/>
      <c r="Q8" s="2"/>
      <c r="R8" s="2"/>
    </row>
    <row r="9" spans="1:18">
      <c r="A9" s="37" t="s">
        <v>682</v>
      </c>
      <c r="B9" s="2"/>
      <c r="C9" s="2"/>
      <c r="D9" s="2"/>
      <c r="E9" s="2"/>
      <c r="F9" s="2"/>
      <c r="G9" s="2"/>
      <c r="H9" s="2"/>
      <c r="I9" s="2"/>
      <c r="J9" s="2"/>
      <c r="K9" s="2"/>
      <c r="L9" s="2"/>
      <c r="M9" s="2"/>
      <c r="N9" s="2"/>
      <c r="O9" s="2"/>
      <c r="P9" s="2"/>
      <c r="Q9" s="2"/>
      <c r="R9" s="2"/>
    </row>
    <row r="10" spans="1:18">
      <c r="A10" s="37" t="s">
        <v>683</v>
      </c>
      <c r="B10" s="2"/>
      <c r="C10" s="2"/>
      <c r="D10" s="2"/>
      <c r="E10" s="2"/>
      <c r="F10" s="2"/>
      <c r="G10" s="2"/>
      <c r="H10" s="2"/>
      <c r="I10" s="2"/>
      <c r="J10" s="2"/>
      <c r="K10" s="2"/>
      <c r="L10" s="2"/>
      <c r="M10" s="2"/>
      <c r="N10" s="2"/>
      <c r="O10" s="2"/>
      <c r="P10" s="2"/>
      <c r="Q10" s="2"/>
      <c r="R10" s="2"/>
    </row>
    <row r="11" spans="1:18">
      <c r="A11" s="37" t="s">
        <v>684</v>
      </c>
      <c r="B11" s="2"/>
      <c r="C11" s="2"/>
      <c r="D11" s="2"/>
      <c r="E11" s="2"/>
      <c r="F11" s="2"/>
      <c r="G11" s="2"/>
      <c r="H11" s="2"/>
      <c r="I11" s="2"/>
      <c r="J11" s="2"/>
      <c r="K11" s="2"/>
      <c r="L11" s="2"/>
      <c r="M11" s="2"/>
      <c r="N11" s="2"/>
      <c r="O11" s="2"/>
      <c r="P11" s="2"/>
      <c r="Q11" s="2"/>
      <c r="R11" s="2"/>
    </row>
    <row r="12" spans="1:18" ht="30">
      <c r="A12" s="30" t="s">
        <v>685</v>
      </c>
      <c r="B12" s="82">
        <f>B16/B15</f>
        <v>0.55686839577329494</v>
      </c>
      <c r="C12" s="2" t="s">
        <v>382</v>
      </c>
      <c r="D12" s="2"/>
      <c r="E12" s="2"/>
      <c r="F12" s="2"/>
      <c r="G12" s="2"/>
      <c r="H12" s="2"/>
      <c r="I12" s="2"/>
      <c r="J12" s="2"/>
      <c r="K12" s="2"/>
      <c r="L12" s="2"/>
      <c r="M12" s="2"/>
      <c r="N12" s="2"/>
      <c r="O12" s="2"/>
      <c r="P12" s="2"/>
      <c r="Q12" s="2"/>
      <c r="R12" s="2"/>
    </row>
    <row r="13" spans="1:18">
      <c r="A13" s="2"/>
      <c r="B13" s="2"/>
      <c r="C13" s="2"/>
      <c r="D13" s="2"/>
      <c r="E13" s="2"/>
      <c r="F13" s="2"/>
      <c r="G13" s="2"/>
      <c r="H13" s="2"/>
      <c r="I13" s="2"/>
      <c r="J13" s="2"/>
      <c r="K13" s="2"/>
      <c r="L13" s="2"/>
      <c r="M13" s="2"/>
      <c r="N13" s="2"/>
      <c r="O13" s="2"/>
      <c r="P13" s="2"/>
      <c r="Q13" s="2"/>
      <c r="R13" s="2"/>
    </row>
    <row r="14" spans="1:18">
      <c r="A14" s="7" t="s">
        <v>686</v>
      </c>
      <c r="B14" s="2"/>
      <c r="C14" s="2"/>
      <c r="D14" s="2"/>
      <c r="E14" s="2"/>
      <c r="F14" s="2"/>
      <c r="G14" s="2"/>
      <c r="H14" s="2"/>
      <c r="I14" s="2"/>
      <c r="J14" s="2"/>
      <c r="K14" s="2"/>
      <c r="L14" s="2"/>
      <c r="M14" s="2"/>
      <c r="N14" s="2"/>
      <c r="O14" s="2"/>
      <c r="P14" s="2"/>
      <c r="Q14" s="2"/>
      <c r="R14" s="2"/>
    </row>
    <row r="15" spans="1:18">
      <c r="A15" s="2" t="s">
        <v>687</v>
      </c>
      <c r="B15" s="175">
        <v>41640</v>
      </c>
      <c r="C15" s="2" t="s">
        <v>382</v>
      </c>
      <c r="D15" s="2"/>
      <c r="E15" s="2"/>
      <c r="F15" s="2"/>
      <c r="G15" s="2"/>
      <c r="H15" s="2"/>
      <c r="I15" s="2"/>
      <c r="J15" s="2"/>
      <c r="K15" s="2"/>
      <c r="L15" s="2"/>
      <c r="M15" s="2"/>
      <c r="N15" s="2"/>
      <c r="O15" s="2"/>
      <c r="P15" s="2"/>
      <c r="Q15" s="2"/>
      <c r="R15" s="2"/>
    </row>
    <row r="16" spans="1:18">
      <c r="A16" s="2" t="s">
        <v>688</v>
      </c>
      <c r="B16" s="175">
        <v>23188</v>
      </c>
      <c r="C16" s="2" t="s">
        <v>382</v>
      </c>
      <c r="D16" s="2"/>
      <c r="E16" s="2"/>
      <c r="F16" s="2"/>
      <c r="G16" s="2"/>
      <c r="H16" s="2"/>
      <c r="I16" s="2"/>
      <c r="J16" s="2"/>
      <c r="K16" s="2"/>
      <c r="L16" s="2"/>
      <c r="M16" s="2"/>
      <c r="N16" s="2"/>
      <c r="O16" s="2"/>
      <c r="P16" s="2"/>
      <c r="Q16" s="2"/>
      <c r="R16" s="2"/>
    </row>
    <row r="17" spans="1:18">
      <c r="A17" s="2" t="s">
        <v>689</v>
      </c>
      <c r="B17" s="176">
        <v>6487</v>
      </c>
      <c r="C17" s="2" t="s">
        <v>382</v>
      </c>
      <c r="D17" s="2"/>
      <c r="E17" s="2"/>
      <c r="F17" s="2"/>
      <c r="G17" s="2"/>
      <c r="H17" s="2"/>
      <c r="I17" s="2"/>
      <c r="J17" s="2"/>
      <c r="K17" s="2"/>
      <c r="L17" s="2"/>
      <c r="M17" s="2"/>
      <c r="N17" s="2"/>
      <c r="O17" s="2"/>
      <c r="P17" s="2"/>
      <c r="Q17" s="2"/>
      <c r="R17" s="2"/>
    </row>
    <row r="18" spans="1:18">
      <c r="A18" s="2" t="s">
        <v>690</v>
      </c>
      <c r="B18" s="82">
        <f>B17/B15</f>
        <v>0.15578770413064361</v>
      </c>
      <c r="C18" s="2" t="s">
        <v>331</v>
      </c>
      <c r="D18" s="2"/>
      <c r="E18" s="2"/>
      <c r="F18" s="2"/>
      <c r="G18" s="2"/>
      <c r="H18" s="2"/>
      <c r="I18" s="2"/>
      <c r="J18" s="2"/>
      <c r="K18" s="2"/>
      <c r="L18" s="2"/>
      <c r="M18" s="2"/>
      <c r="N18" s="2"/>
      <c r="O18" s="2"/>
      <c r="P18" s="2"/>
      <c r="Q18" s="2"/>
      <c r="R18" s="2"/>
    </row>
    <row r="19" spans="1:18">
      <c r="A19" s="2"/>
      <c r="B19" s="2"/>
      <c r="C19" s="2"/>
      <c r="D19" s="2"/>
      <c r="E19" s="2"/>
      <c r="F19" s="2"/>
      <c r="G19" s="2"/>
      <c r="H19" s="2"/>
      <c r="I19" s="2"/>
      <c r="J19" s="2"/>
      <c r="K19" s="2"/>
      <c r="L19" s="2"/>
      <c r="M19" s="2"/>
      <c r="N19" s="2"/>
      <c r="O19" s="2"/>
      <c r="P19" s="2"/>
      <c r="Q19" s="2"/>
      <c r="R19" s="2"/>
    </row>
    <row r="20" spans="1:18">
      <c r="A20" s="7" t="s">
        <v>691</v>
      </c>
      <c r="B20" s="34">
        <v>0</v>
      </c>
      <c r="C20" s="2"/>
      <c r="D20" s="2"/>
      <c r="E20" s="2"/>
      <c r="F20" s="2"/>
      <c r="G20" s="2"/>
      <c r="H20" s="2"/>
      <c r="I20" s="2"/>
      <c r="J20" s="2"/>
      <c r="K20" s="2"/>
      <c r="L20" s="2"/>
      <c r="M20" s="2"/>
      <c r="N20" s="2"/>
      <c r="O20" s="2"/>
      <c r="P20" s="2"/>
      <c r="Q20" s="2"/>
      <c r="R20" s="2"/>
    </row>
    <row r="21" spans="1:18">
      <c r="A21" s="2" t="s">
        <v>692</v>
      </c>
      <c r="B21" s="2">
        <f>'Cover sheet'!B21</f>
        <v>3056</v>
      </c>
      <c r="C21" s="2" t="s">
        <v>486</v>
      </c>
      <c r="D21" s="2"/>
      <c r="E21" s="2"/>
      <c r="F21" s="2"/>
      <c r="G21" s="2"/>
      <c r="H21" s="2"/>
      <c r="I21" s="2"/>
      <c r="J21" s="2"/>
      <c r="K21" s="2"/>
      <c r="L21" s="2"/>
      <c r="M21" s="2"/>
      <c r="N21" s="2"/>
      <c r="O21" s="2"/>
      <c r="P21" s="2"/>
      <c r="Q21" s="2"/>
      <c r="R21" s="2"/>
    </row>
    <row r="22" spans="1:18">
      <c r="A22" s="2" t="s">
        <v>693</v>
      </c>
      <c r="B22" s="2">
        <f>'Cover sheet'!B24</f>
        <v>8400</v>
      </c>
      <c r="C22" s="2" t="s">
        <v>382</v>
      </c>
      <c r="D22" s="2"/>
      <c r="E22" s="2"/>
      <c r="F22" s="2"/>
      <c r="G22" s="2"/>
      <c r="H22" s="2"/>
      <c r="I22" s="2"/>
      <c r="J22" s="2"/>
      <c r="K22" s="2"/>
      <c r="L22" s="2"/>
      <c r="M22" s="2"/>
      <c r="N22" s="2"/>
      <c r="O22" s="2"/>
      <c r="P22" s="2"/>
      <c r="Q22" s="2"/>
      <c r="R22" s="2"/>
    </row>
    <row r="23" spans="1:18">
      <c r="A23" s="2" t="s">
        <v>694</v>
      </c>
      <c r="B23" s="2">
        <f>'Cover sheet'!B25</f>
        <v>11965</v>
      </c>
      <c r="C23" s="2" t="s">
        <v>382</v>
      </c>
      <c r="D23" s="2"/>
      <c r="E23" s="2"/>
      <c r="F23" s="2"/>
      <c r="G23" s="2"/>
      <c r="H23" s="2"/>
      <c r="I23" s="2"/>
      <c r="J23" s="2"/>
      <c r="K23" s="2"/>
      <c r="L23" s="2"/>
      <c r="M23" s="2"/>
      <c r="N23" s="2"/>
      <c r="O23" s="2"/>
      <c r="P23" s="2"/>
      <c r="Q23" s="2"/>
      <c r="R23" s="2"/>
    </row>
    <row r="24" spans="1:18">
      <c r="A24" s="2" t="s">
        <v>695</v>
      </c>
      <c r="B24" s="82">
        <f>B23/B15</f>
        <v>0.28734390009606148</v>
      </c>
      <c r="C24" s="2" t="s">
        <v>331</v>
      </c>
      <c r="D24" s="2"/>
      <c r="E24" s="2"/>
      <c r="F24" s="2"/>
      <c r="G24" s="2"/>
      <c r="H24" s="2"/>
      <c r="I24" s="2"/>
      <c r="J24" s="2"/>
      <c r="K24" s="2"/>
      <c r="L24" s="2"/>
      <c r="M24" s="2"/>
      <c r="N24" s="2"/>
      <c r="O24" s="2"/>
      <c r="P24" s="2"/>
      <c r="Q24" s="2"/>
      <c r="R24" s="2"/>
    </row>
    <row r="25" spans="1:18">
      <c r="A25" s="2" t="s">
        <v>696</v>
      </c>
      <c r="B25" s="11">
        <f>1000*(Sheet1!C6/9.81)*'Drag Polar'!D25*LN(('Mass Estimation'!B16+'Mass Estimation'!B23+'Mass Estimation'!B17)/('Mass Estimation'!B16+'Mass Estimation'!B23))-Sheet1!C7</f>
        <v>2228.6572973089751</v>
      </c>
      <c r="C25" s="2" t="s">
        <v>486</v>
      </c>
      <c r="D25" s="2"/>
      <c r="E25" s="2"/>
      <c r="F25" s="2"/>
      <c r="G25" s="2"/>
      <c r="H25" s="2"/>
      <c r="I25" s="2"/>
      <c r="J25" s="2"/>
      <c r="K25" s="2"/>
      <c r="L25" s="2"/>
      <c r="M25" s="2"/>
      <c r="N25" s="2"/>
      <c r="O25" s="2"/>
      <c r="P25" s="2"/>
      <c r="Q25" s="2"/>
      <c r="R25" s="2"/>
    </row>
    <row r="26" spans="1:18">
      <c r="A26" s="2" t="s">
        <v>697</v>
      </c>
      <c r="B26" s="11">
        <f>1000*(Sheet1!C6/9.81)*'Drag Polar'!D25*LN(('Mass Estimation'!B16+'Mass Estimation'!B17)/('Mass Estimation'!B16))-Sheet1!C7</f>
        <v>3865.6284530302182</v>
      </c>
      <c r="C26" s="2" t="s">
        <v>486</v>
      </c>
      <c r="D26" s="2"/>
      <c r="E26" s="2"/>
      <c r="F26" s="2"/>
      <c r="G26" s="2"/>
      <c r="H26" s="2"/>
      <c r="I26" s="2"/>
      <c r="J26" s="2"/>
      <c r="K26" s="2"/>
      <c r="L26" s="2"/>
      <c r="M26" s="2"/>
      <c r="N26" s="2"/>
      <c r="O26" s="2"/>
      <c r="P26" s="2"/>
      <c r="Q26" s="2"/>
      <c r="R26" s="2"/>
    </row>
    <row r="27" spans="1:18">
      <c r="A27" s="2" t="s">
        <v>698</v>
      </c>
      <c r="B27" s="2"/>
      <c r="C27" s="2"/>
      <c r="D27" s="2"/>
      <c r="E27" s="2"/>
      <c r="F27" s="2"/>
      <c r="G27" s="2"/>
      <c r="H27" s="2"/>
      <c r="I27" s="2"/>
      <c r="J27" s="2"/>
      <c r="K27" s="2"/>
      <c r="L27" s="2"/>
      <c r="M27" s="2"/>
      <c r="N27" s="2"/>
      <c r="O27" s="2"/>
      <c r="P27" s="2"/>
      <c r="Q27" s="2"/>
      <c r="R27" s="2"/>
    </row>
    <row r="28" spans="1:18">
      <c r="A28" s="37" t="s">
        <v>699</v>
      </c>
      <c r="B28" s="2"/>
      <c r="C28" s="2"/>
      <c r="D28" s="2"/>
      <c r="E28" s="2"/>
      <c r="F28" s="2"/>
      <c r="G28" s="2"/>
      <c r="H28" s="2"/>
      <c r="I28" s="2"/>
      <c r="J28" s="2"/>
      <c r="K28" s="2"/>
      <c r="L28" s="2"/>
      <c r="M28" s="2"/>
      <c r="N28" s="2"/>
      <c r="O28" s="2"/>
      <c r="P28" s="2"/>
      <c r="Q28" s="2"/>
      <c r="R28" s="2"/>
    </row>
    <row r="29" spans="1:18">
      <c r="A29" s="2"/>
      <c r="B29" s="2"/>
      <c r="C29" s="2"/>
      <c r="D29" s="2"/>
      <c r="E29" s="2"/>
      <c r="F29" s="2"/>
      <c r="G29" s="2"/>
      <c r="H29" s="2"/>
      <c r="I29" s="2"/>
      <c r="J29" s="2"/>
      <c r="K29" s="2"/>
      <c r="L29" s="2"/>
      <c r="M29" s="2"/>
      <c r="N29" s="2"/>
      <c r="O29" s="2"/>
      <c r="P29" s="2"/>
      <c r="Q29" s="2"/>
      <c r="R29" s="2"/>
    </row>
    <row r="30" spans="1:18">
      <c r="A30" s="2"/>
      <c r="B30" s="2"/>
      <c r="C30" s="2"/>
      <c r="D30" s="2"/>
      <c r="E30" s="2"/>
      <c r="F30" s="2"/>
      <c r="G30" s="2"/>
      <c r="H30" s="2"/>
      <c r="I30" s="2"/>
      <c r="J30" s="2"/>
      <c r="K30" s="2"/>
      <c r="L30" s="2"/>
      <c r="M30" s="2"/>
      <c r="N30" s="2"/>
      <c r="O30" s="2"/>
      <c r="P30" s="2"/>
      <c r="Q30" s="2"/>
      <c r="R30" s="2"/>
    </row>
  </sheetData>
  <sheetProtection algorithmName="SHA-512" hashValue="26S8rWjE6fb82GqWc4Wri0oiU5f3qlVQE5Bj47kN1AJNbPcHpQmqmckzarvdIyzdXYQJhVsYslcsXfDhGRIELQ==" saltValue="c9PiSU0ncNTnGyzyCW0uiQ==" spinCount="100000" sheet="1" scenarios="1" formatCells="0"/>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CF4A-16DD-423F-A8F1-75757CE94ED0}">
  <dimension ref="B2:E26"/>
  <sheetViews>
    <sheetView workbookViewId="0">
      <selection activeCell="I39" sqref="I39"/>
    </sheetView>
  </sheetViews>
  <sheetFormatPr defaultRowHeight="15"/>
  <cols>
    <col min="2" max="2" width="30.42578125" customWidth="1"/>
    <col min="3" max="3" width="28.140625" customWidth="1"/>
    <col min="4" max="4" width="48.85546875" customWidth="1"/>
    <col min="7" max="7" width="30.7109375" customWidth="1"/>
  </cols>
  <sheetData>
    <row r="2" spans="2:4">
      <c r="B2" t="s">
        <v>700</v>
      </c>
      <c r="C2" t="s">
        <v>701</v>
      </c>
      <c r="D2" t="s">
        <v>702</v>
      </c>
    </row>
    <row r="3" spans="2:4">
      <c r="B3" t="s">
        <v>504</v>
      </c>
      <c r="C3" t="s">
        <v>703</v>
      </c>
      <c r="D3" t="s">
        <v>704</v>
      </c>
    </row>
    <row r="14" spans="2:4">
      <c r="B14" t="s">
        <v>705</v>
      </c>
      <c r="C14" s="137" t="s">
        <v>706</v>
      </c>
      <c r="D14" t="s">
        <v>707</v>
      </c>
    </row>
    <row r="15" spans="2:4">
      <c r="C15" s="137" t="s">
        <v>708</v>
      </c>
      <c r="D15" t="s">
        <v>709</v>
      </c>
    </row>
    <row r="16" spans="2:4">
      <c r="C16" s="138" t="s">
        <v>710</v>
      </c>
      <c r="D16" t="s">
        <v>711</v>
      </c>
    </row>
    <row r="17" spans="3:5">
      <c r="C17" s="138" t="s">
        <v>712</v>
      </c>
      <c r="D17" t="s">
        <v>713</v>
      </c>
    </row>
    <row r="18" spans="3:5">
      <c r="C18" t="s">
        <v>714</v>
      </c>
      <c r="D18" t="s">
        <v>715</v>
      </c>
    </row>
    <row r="19" spans="3:5">
      <c r="D19" t="s">
        <v>716</v>
      </c>
      <c r="E19" s="143" t="s">
        <v>717</v>
      </c>
    </row>
    <row r="20" spans="3:5">
      <c r="D20" t="s">
        <v>718</v>
      </c>
      <c r="E20" s="143" t="s">
        <v>719</v>
      </c>
    </row>
    <row r="24" spans="3:5">
      <c r="D24" t="s">
        <v>720</v>
      </c>
    </row>
    <row r="25" spans="3:5">
      <c r="D25" t="s">
        <v>721</v>
      </c>
    </row>
    <row r="26" spans="3:5">
      <c r="D26" t="s">
        <v>722</v>
      </c>
    </row>
  </sheetData>
  <hyperlinks>
    <hyperlink ref="E19" r:id="rId1" xr:uid="{48A1CA0D-9C53-4DE3-82A6-50A8EC398AB7}"/>
    <hyperlink ref="E20" r:id="rId2" xr:uid="{D1D55523-A83E-45BE-BC19-2C690D4CEB7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4BF5-3C93-455D-87C5-5D33CAF69520}">
  <dimension ref="B1:F11"/>
  <sheetViews>
    <sheetView workbookViewId="0">
      <selection activeCell="G19" sqref="G19"/>
    </sheetView>
  </sheetViews>
  <sheetFormatPr defaultColWidth="12.7109375" defaultRowHeight="15"/>
  <cols>
    <col min="3" max="3" width="13.42578125" bestFit="1" customWidth="1"/>
  </cols>
  <sheetData>
    <row r="1" spans="2:6">
      <c r="D1" t="s">
        <v>723</v>
      </c>
    </row>
    <row r="2" spans="2:6">
      <c r="B2" t="s">
        <v>724</v>
      </c>
      <c r="C2" s="179">
        <f>22*('Drag Polar'!D31)^-0.19</f>
        <v>16.203856184554191</v>
      </c>
      <c r="D2" s="144">
        <v>19</v>
      </c>
    </row>
    <row r="3" spans="2:6">
      <c r="B3" t="s">
        <v>725</v>
      </c>
      <c r="C3" s="108">
        <f>('Cover sheet'!B21+C4)*(1+0.05)+(1.2*250)+(45*60*C5)/1000</f>
        <v>4412.8008050059561</v>
      </c>
    </row>
    <row r="4" spans="2:6">
      <c r="B4" t="s">
        <v>726</v>
      </c>
      <c r="C4" s="108">
        <f>(1/0.7)*('Drag Polar'!D25)*((TLAR!B19/1000)+(((C5/1000)^2)/(2*9.81)))</f>
        <v>229.7199694310838</v>
      </c>
    </row>
    <row r="5" spans="2:6">
      <c r="B5" t="s">
        <v>727</v>
      </c>
      <c r="C5" s="108">
        <f>TLAR!B18*((1.4*8.3145*223)/0.0289645)^0.5</f>
        <v>245.47956929752539</v>
      </c>
    </row>
    <row r="6" spans="2:6">
      <c r="B6" t="s">
        <v>673</v>
      </c>
      <c r="C6" s="107">
        <f>C5/D2</f>
        <v>12.919977331448704</v>
      </c>
    </row>
    <row r="7" spans="2:6">
      <c r="B7" t="s">
        <v>728</v>
      </c>
      <c r="C7" s="108">
        <f>C3-'Cover sheet'!B21</f>
        <v>1356.8008050059561</v>
      </c>
    </row>
    <row r="8" spans="2:6">
      <c r="B8" t="s">
        <v>729</v>
      </c>
      <c r="C8" s="106">
        <f>((26200)/(101325))*(1-(0.43+0.014*'Drag Polar'!$D$31)*SQRT(0.77))</f>
        <v>0.14512505948696094</v>
      </c>
      <c r="D8" s="106">
        <f>(288.15-50)/(288.15)</f>
        <v>0.82647926427208052</v>
      </c>
      <c r="E8" s="106">
        <f>((26200)/(101325))*(1-(0.43+0.014*'Drag Polar'!$D$31)*SQRT(0.77))</f>
        <v>0.14512505948696094</v>
      </c>
      <c r="F8">
        <f>0.4135/1.225</f>
        <v>0.3375510204081632</v>
      </c>
    </row>
    <row r="9" spans="2:6">
      <c r="B9" t="s">
        <v>730</v>
      </c>
      <c r="C9" s="106">
        <f>'Drag Polar'!D20*PI()*'Drag Polar'!D6*'Drag Polar'!D26</f>
        <v>0.48675038545463056</v>
      </c>
    </row>
    <row r="10" spans="2:6">
      <c r="B10" t="s">
        <v>731</v>
      </c>
      <c r="C10" s="105">
        <f>'Drag Polar'!D20/(PI()*'Drag Polar'!D6*'Drag Polar'!D26)</f>
        <v>9.6741577217280118E-4</v>
      </c>
    </row>
    <row r="11" spans="2:6">
      <c r="B11" t="s">
        <v>732</v>
      </c>
      <c r="C11">
        <f>TLAR!B20/288.15</f>
        <v>0.77442304355370462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6C92-F159-4176-85D0-DFD45635C9D1}">
  <sheetPr codeName="Sheet8"/>
  <dimension ref="A1:CA191"/>
  <sheetViews>
    <sheetView topLeftCell="B80" zoomScale="55" zoomScaleNormal="55" workbookViewId="0">
      <selection activeCell="Y98" sqref="Y98"/>
    </sheetView>
  </sheetViews>
  <sheetFormatPr defaultRowHeight="15"/>
  <cols>
    <col min="1" max="1" width="48.28515625" customWidth="1"/>
    <col min="2" max="2" width="13.42578125" bestFit="1" customWidth="1"/>
    <col min="3" max="3" width="15.7109375" bestFit="1" customWidth="1"/>
    <col min="4" max="4" width="14.7109375" bestFit="1" customWidth="1"/>
    <col min="5" max="5" width="12.28515625" customWidth="1"/>
    <col min="6" max="6" width="12.5703125" customWidth="1"/>
    <col min="7" max="7" width="12.7109375" bestFit="1" customWidth="1"/>
    <col min="8" max="8" width="16" bestFit="1" customWidth="1"/>
    <col min="14" max="79" width="9.28515625" style="16"/>
  </cols>
  <sheetData>
    <row r="1" spans="1:30">
      <c r="A1" s="331" t="s">
        <v>733</v>
      </c>
      <c r="B1" s="332"/>
      <c r="C1" s="332"/>
      <c r="D1" s="332"/>
      <c r="E1" s="332"/>
      <c r="F1" s="332"/>
      <c r="G1" s="333"/>
      <c r="H1" s="2"/>
      <c r="I1" s="2"/>
      <c r="J1" s="2"/>
      <c r="K1" s="2"/>
      <c r="L1" s="2"/>
      <c r="M1" s="2"/>
      <c r="N1" s="15"/>
      <c r="O1" s="15"/>
      <c r="P1" s="15"/>
      <c r="Q1" s="15"/>
      <c r="R1" s="15"/>
      <c r="S1" s="15"/>
      <c r="T1" s="15"/>
      <c r="U1" s="15"/>
      <c r="V1" s="15"/>
      <c r="W1" s="15"/>
      <c r="X1" s="15"/>
      <c r="Y1" s="15"/>
      <c r="Z1" s="15"/>
      <c r="AA1" s="15"/>
      <c r="AB1" s="15"/>
      <c r="AC1" s="15"/>
      <c r="AD1" s="15"/>
    </row>
    <row r="2" spans="1:30">
      <c r="A2" s="325" t="s">
        <v>734</v>
      </c>
      <c r="B2" s="323"/>
      <c r="C2" s="323"/>
      <c r="D2" s="323"/>
      <c r="E2" s="323"/>
      <c r="F2" s="323"/>
      <c r="G2" s="326"/>
      <c r="H2" s="2"/>
      <c r="I2" s="2"/>
      <c r="J2" s="2"/>
      <c r="K2" s="2"/>
      <c r="L2" s="2"/>
      <c r="M2" s="2"/>
      <c r="N2" s="15"/>
      <c r="O2" s="15"/>
      <c r="P2" s="15"/>
      <c r="Q2" s="15"/>
      <c r="R2" s="15"/>
      <c r="S2" s="15"/>
      <c r="T2" s="15"/>
      <c r="U2" s="15"/>
      <c r="V2" s="15"/>
      <c r="W2" s="15"/>
      <c r="X2" s="15"/>
      <c r="Y2" s="15"/>
      <c r="Z2" s="15"/>
      <c r="AA2" s="15"/>
      <c r="AB2" s="15"/>
      <c r="AC2" s="15"/>
      <c r="AD2" s="15"/>
    </row>
    <row r="3" spans="1:30">
      <c r="A3" s="40" t="s">
        <v>735</v>
      </c>
      <c r="B3" s="31"/>
      <c r="C3" s="31"/>
      <c r="D3" s="31"/>
      <c r="E3" s="31"/>
      <c r="F3" s="31"/>
      <c r="G3" s="41"/>
      <c r="H3" s="2"/>
      <c r="I3" s="2"/>
      <c r="J3" s="2"/>
      <c r="K3" s="2"/>
      <c r="L3" s="2"/>
      <c r="M3" s="2"/>
      <c r="N3" s="15"/>
      <c r="O3" s="15"/>
      <c r="P3" s="15"/>
      <c r="Q3" s="15"/>
      <c r="R3" s="15"/>
      <c r="S3" s="15"/>
      <c r="T3" s="15"/>
      <c r="U3" s="15"/>
      <c r="V3" s="15"/>
      <c r="W3" s="15"/>
      <c r="X3" s="15"/>
      <c r="Y3" s="15"/>
      <c r="Z3" s="15"/>
      <c r="AA3" s="15"/>
      <c r="AB3" s="15"/>
      <c r="AC3" s="15"/>
      <c r="AD3" s="15"/>
    </row>
    <row r="4" spans="1:30" ht="15.75" thickBot="1">
      <c r="A4" s="325" t="s">
        <v>736</v>
      </c>
      <c r="B4" s="323"/>
      <c r="C4" s="323"/>
      <c r="D4" s="323"/>
      <c r="E4" s="323"/>
      <c r="F4" s="323"/>
      <c r="G4" s="326"/>
      <c r="H4" s="2"/>
      <c r="I4" s="2"/>
      <c r="J4" s="2"/>
      <c r="K4" s="2"/>
      <c r="L4" s="2"/>
      <c r="M4" s="2"/>
      <c r="N4" s="15"/>
      <c r="O4" s="15"/>
      <c r="P4" s="15"/>
      <c r="Q4" s="15"/>
      <c r="R4" s="15"/>
      <c r="S4" s="15"/>
      <c r="T4" s="15"/>
      <c r="U4" s="15"/>
      <c r="V4" s="15"/>
      <c r="W4" s="15"/>
      <c r="X4" s="15"/>
      <c r="Y4" s="15"/>
      <c r="Z4" s="15"/>
      <c r="AA4" s="15"/>
      <c r="AB4" s="15"/>
      <c r="AC4" s="15"/>
      <c r="AD4" s="15"/>
    </row>
    <row r="5" spans="1:30" ht="17.25">
      <c r="A5" s="334" t="s">
        <v>737</v>
      </c>
      <c r="B5" s="335"/>
      <c r="C5" s="335"/>
      <c r="D5" s="335"/>
      <c r="E5" s="335"/>
      <c r="F5" s="335"/>
      <c r="G5" s="336"/>
      <c r="H5" s="2"/>
      <c r="I5" s="2"/>
      <c r="J5" s="2"/>
      <c r="K5" s="2"/>
      <c r="L5" s="2"/>
      <c r="M5" s="2"/>
      <c r="N5" s="15"/>
      <c r="O5" s="15"/>
      <c r="P5" s="15"/>
      <c r="Q5" s="15"/>
      <c r="R5" s="15"/>
      <c r="S5" s="15"/>
      <c r="T5" s="15"/>
      <c r="U5" s="15"/>
      <c r="V5" s="15"/>
      <c r="W5" s="15"/>
      <c r="X5" s="15"/>
      <c r="Y5" s="15"/>
      <c r="Z5" s="15"/>
      <c r="AA5" s="15"/>
      <c r="AB5" s="15"/>
      <c r="AC5" s="15"/>
      <c r="AD5" s="15"/>
    </row>
    <row r="6" spans="1:30" ht="17.25">
      <c r="A6" s="325" t="s">
        <v>738</v>
      </c>
      <c r="B6" s="323"/>
      <c r="C6" s="323"/>
      <c r="D6" s="323"/>
      <c r="E6" s="323"/>
      <c r="F6" s="323"/>
      <c r="G6" s="326"/>
      <c r="H6" s="2"/>
      <c r="I6" s="2"/>
      <c r="J6" s="2"/>
      <c r="K6" s="2"/>
      <c r="L6" s="2"/>
      <c r="M6" s="2"/>
      <c r="N6" s="15"/>
      <c r="O6" s="15"/>
      <c r="P6" s="15"/>
      <c r="Q6" s="15"/>
      <c r="R6" s="15"/>
      <c r="S6" s="15"/>
      <c r="T6" s="15"/>
      <c r="U6" s="15"/>
      <c r="V6" s="15"/>
      <c r="W6" s="15"/>
      <c r="X6" s="15"/>
      <c r="Y6" s="15"/>
      <c r="Z6" s="15"/>
      <c r="AA6" s="15"/>
      <c r="AB6" s="15"/>
      <c r="AC6" s="15"/>
      <c r="AD6" s="15"/>
    </row>
    <row r="7" spans="1:30">
      <c r="A7" s="325" t="s">
        <v>739</v>
      </c>
      <c r="B7" s="323"/>
      <c r="C7" s="323"/>
      <c r="D7" s="323"/>
      <c r="E7" s="323"/>
      <c r="F7" s="323"/>
      <c r="G7" s="326"/>
      <c r="H7" s="2"/>
      <c r="I7" s="2"/>
      <c r="J7" s="2"/>
      <c r="K7" s="2"/>
      <c r="L7" s="2"/>
      <c r="M7" s="2"/>
      <c r="N7" s="15"/>
      <c r="O7" s="15"/>
      <c r="P7" s="15"/>
      <c r="Q7" s="15"/>
      <c r="R7" s="15"/>
      <c r="S7" s="15"/>
      <c r="T7" s="15"/>
      <c r="U7" s="15"/>
      <c r="V7" s="15"/>
      <c r="W7" s="15"/>
      <c r="X7" s="15"/>
      <c r="Y7" s="15"/>
      <c r="Z7" s="15"/>
      <c r="AA7" s="15"/>
      <c r="AB7" s="15"/>
      <c r="AC7" s="15"/>
      <c r="AD7" s="15"/>
    </row>
    <row r="8" spans="1:30">
      <c r="A8" s="325" t="s">
        <v>740</v>
      </c>
      <c r="B8" s="323"/>
      <c r="C8" s="323"/>
      <c r="D8" s="323"/>
      <c r="E8" s="323"/>
      <c r="F8" s="323"/>
      <c r="G8" s="326"/>
      <c r="H8" s="2"/>
      <c r="I8" s="2"/>
      <c r="J8" s="2"/>
      <c r="K8" s="2"/>
      <c r="L8" s="2"/>
      <c r="M8" s="2"/>
      <c r="N8" s="15"/>
      <c r="O8" s="15"/>
      <c r="P8" s="15"/>
      <c r="Q8" s="15"/>
      <c r="R8" s="15"/>
      <c r="S8" s="15"/>
      <c r="T8" s="15"/>
      <c r="U8" s="15"/>
      <c r="V8" s="15"/>
      <c r="W8" s="15"/>
      <c r="X8" s="15"/>
      <c r="Y8" s="15"/>
      <c r="Z8" s="15"/>
      <c r="AA8" s="15"/>
      <c r="AB8" s="15"/>
      <c r="AC8" s="15"/>
      <c r="AD8" s="15"/>
    </row>
    <row r="9" spans="1:30" ht="15.75" thickBot="1">
      <c r="A9" s="327" t="s">
        <v>741</v>
      </c>
      <c r="B9" s="328"/>
      <c r="C9" s="328"/>
      <c r="D9" s="328"/>
      <c r="E9" s="328"/>
      <c r="F9" s="328"/>
      <c r="G9" s="329"/>
      <c r="H9" s="2"/>
      <c r="I9" s="2"/>
      <c r="J9" s="2"/>
      <c r="K9" s="2"/>
      <c r="L9" s="2"/>
      <c r="M9" s="2"/>
      <c r="N9" s="15"/>
      <c r="O9" s="15"/>
      <c r="P9" s="15"/>
      <c r="Q9" s="15"/>
      <c r="R9" s="15"/>
      <c r="S9" s="15"/>
      <c r="T9" s="15"/>
      <c r="U9" s="15"/>
      <c r="V9" s="15"/>
      <c r="W9" s="15"/>
      <c r="X9" s="15"/>
      <c r="Y9" s="15"/>
      <c r="Z9" s="15"/>
      <c r="AA9" s="15"/>
      <c r="AB9" s="15"/>
      <c r="AC9" s="15"/>
      <c r="AD9" s="15"/>
    </row>
    <row r="10" spans="1:30">
      <c r="A10" s="2"/>
      <c r="B10" s="2"/>
      <c r="C10" s="2"/>
      <c r="D10" s="2"/>
      <c r="E10" s="2"/>
      <c r="F10" s="2"/>
      <c r="G10" s="2"/>
      <c r="H10" s="2"/>
      <c r="I10" s="2"/>
      <c r="J10" s="2"/>
      <c r="K10" s="2"/>
      <c r="L10" s="2"/>
      <c r="M10" s="2"/>
      <c r="N10" s="15"/>
      <c r="O10" s="15"/>
      <c r="P10" s="15"/>
      <c r="Q10" s="15"/>
      <c r="R10" s="15"/>
      <c r="S10" s="15"/>
      <c r="T10" s="15"/>
      <c r="U10" s="15"/>
      <c r="V10" s="15"/>
      <c r="W10" s="15"/>
      <c r="X10" s="15"/>
      <c r="Y10" s="15"/>
      <c r="Z10" s="15"/>
      <c r="AA10" s="15"/>
      <c r="AB10" s="15"/>
      <c r="AC10" s="15"/>
      <c r="AD10" s="15"/>
    </row>
    <row r="11" spans="1:30">
      <c r="A11" s="7" t="s">
        <v>742</v>
      </c>
      <c r="B11" s="2"/>
      <c r="C11" s="2"/>
      <c r="D11" s="2"/>
      <c r="E11" s="7" t="s">
        <v>1</v>
      </c>
      <c r="F11" s="2"/>
      <c r="G11" s="2"/>
      <c r="H11" s="2"/>
      <c r="I11" s="2"/>
      <c r="J11" s="2"/>
      <c r="K11" s="2"/>
      <c r="L11" s="2"/>
      <c r="M11" s="2"/>
      <c r="N11" s="15"/>
      <c r="O11" s="15"/>
      <c r="P11" s="15"/>
      <c r="Q11" s="15"/>
      <c r="R11" s="15"/>
      <c r="S11" s="15"/>
      <c r="T11" s="15"/>
      <c r="U11" s="15"/>
      <c r="V11" s="15"/>
      <c r="W11" s="15"/>
      <c r="X11" s="15"/>
      <c r="Y11" s="15"/>
      <c r="Z11" s="15"/>
      <c r="AA11" s="15"/>
      <c r="AB11" s="15"/>
      <c r="AC11" s="15"/>
      <c r="AD11" s="15"/>
    </row>
    <row r="12" spans="1:30">
      <c r="A12" s="2" t="s">
        <v>743</v>
      </c>
      <c r="B12" s="2"/>
      <c r="C12" s="2"/>
      <c r="D12" s="1" t="s">
        <v>744</v>
      </c>
      <c r="E12" s="2" t="s">
        <v>331</v>
      </c>
      <c r="F12" s="2"/>
      <c r="G12" s="2"/>
      <c r="H12" s="2"/>
      <c r="I12" s="2"/>
      <c r="J12" s="2"/>
      <c r="K12" s="2"/>
      <c r="L12" s="2"/>
      <c r="M12" s="2"/>
      <c r="N12" s="15"/>
      <c r="O12" s="15"/>
      <c r="P12" s="15"/>
      <c r="Q12" s="15"/>
      <c r="R12" s="15"/>
      <c r="S12" s="15"/>
      <c r="T12" s="15"/>
      <c r="U12" s="15"/>
      <c r="V12" s="15"/>
      <c r="W12" s="15"/>
      <c r="X12" s="15"/>
      <c r="Y12" s="15"/>
      <c r="Z12" s="15"/>
      <c r="AA12" s="15"/>
      <c r="AB12" s="15"/>
      <c r="AC12" s="15"/>
      <c r="AD12" s="15"/>
    </row>
    <row r="13" spans="1:30" ht="18">
      <c r="A13" s="2" t="s">
        <v>745</v>
      </c>
      <c r="B13" s="2"/>
      <c r="C13" s="2"/>
      <c r="D13" s="1">
        <v>1.3</v>
      </c>
      <c r="E13" s="2" t="s">
        <v>331</v>
      </c>
      <c r="F13" s="2"/>
      <c r="G13" s="2"/>
      <c r="H13" s="2"/>
      <c r="I13" s="2"/>
      <c r="J13" s="2"/>
      <c r="K13" s="2"/>
      <c r="L13" s="2"/>
      <c r="M13" s="2"/>
      <c r="N13" s="15"/>
      <c r="O13" s="15"/>
      <c r="P13" s="15"/>
      <c r="Q13" s="15"/>
      <c r="R13" s="15"/>
      <c r="S13" s="15"/>
      <c r="T13" s="15"/>
      <c r="U13" s="15"/>
      <c r="V13" s="15"/>
      <c r="W13" s="15"/>
      <c r="X13" s="15"/>
      <c r="Y13" s="15"/>
      <c r="Z13" s="15"/>
      <c r="AA13" s="15"/>
      <c r="AB13" s="15"/>
      <c r="AC13" s="15"/>
      <c r="AD13" s="15"/>
    </row>
    <row r="14" spans="1:30">
      <c r="A14" s="2" t="s">
        <v>746</v>
      </c>
      <c r="B14" s="2"/>
      <c r="C14" s="2"/>
      <c r="D14" s="1" t="s">
        <v>747</v>
      </c>
      <c r="E14" s="2" t="s">
        <v>331</v>
      </c>
      <c r="F14" s="2"/>
      <c r="G14" s="2"/>
      <c r="H14" s="2"/>
      <c r="I14" s="2"/>
      <c r="J14" s="2"/>
      <c r="K14" s="2"/>
      <c r="L14" s="2"/>
      <c r="M14" s="2"/>
      <c r="N14" s="15"/>
      <c r="O14" s="15"/>
      <c r="P14" s="15"/>
      <c r="Q14" s="15"/>
      <c r="R14" s="15"/>
      <c r="S14" s="15"/>
      <c r="T14" s="15"/>
      <c r="U14" s="15"/>
      <c r="V14" s="15"/>
      <c r="W14" s="15"/>
      <c r="X14" s="15"/>
      <c r="Y14" s="15"/>
      <c r="Z14" s="15"/>
      <c r="AA14" s="15"/>
      <c r="AB14" s="15"/>
      <c r="AC14" s="15"/>
      <c r="AD14" s="15"/>
    </row>
    <row r="15" spans="1:30">
      <c r="A15" s="2" t="s">
        <v>748</v>
      </c>
      <c r="B15" s="2"/>
      <c r="C15" s="2"/>
      <c r="D15" s="1" t="s">
        <v>747</v>
      </c>
      <c r="E15" s="2" t="s">
        <v>331</v>
      </c>
      <c r="F15" s="2"/>
      <c r="G15" s="2"/>
      <c r="H15" s="2"/>
      <c r="I15" s="2"/>
      <c r="J15" s="2"/>
      <c r="K15" s="2"/>
      <c r="L15" s="2"/>
      <c r="M15" s="2"/>
      <c r="N15" s="15"/>
      <c r="O15" s="15"/>
      <c r="P15" s="15"/>
      <c r="Q15" s="15"/>
      <c r="R15" s="15"/>
      <c r="S15" s="15"/>
      <c r="T15" s="15"/>
      <c r="U15" s="15"/>
      <c r="V15" s="15"/>
      <c r="W15" s="15"/>
      <c r="X15" s="15"/>
      <c r="Y15" s="15"/>
      <c r="Z15" s="15"/>
      <c r="AA15" s="15"/>
      <c r="AB15" s="15"/>
      <c r="AC15" s="15"/>
      <c r="AD15" s="15"/>
    </row>
    <row r="16" spans="1:30" ht="18">
      <c r="A16" s="2" t="s">
        <v>749</v>
      </c>
      <c r="B16" s="2"/>
      <c r="C16" s="2"/>
      <c r="D16" s="1">
        <v>2.5</v>
      </c>
      <c r="E16" s="2" t="s">
        <v>331</v>
      </c>
      <c r="F16" s="2"/>
      <c r="G16" s="2"/>
      <c r="H16" s="2"/>
      <c r="I16" s="2"/>
      <c r="J16" s="2"/>
      <c r="K16" s="2"/>
      <c r="L16" s="2"/>
      <c r="M16" s="2"/>
      <c r="N16" s="15"/>
      <c r="O16" s="15"/>
      <c r="P16" s="15"/>
      <c r="Q16" s="15"/>
      <c r="R16" s="15"/>
      <c r="S16" s="15"/>
      <c r="T16" s="15"/>
      <c r="U16" s="15"/>
      <c r="V16" s="15"/>
      <c r="W16" s="15"/>
      <c r="X16" s="15"/>
      <c r="Y16" s="15"/>
      <c r="Z16" s="15"/>
      <c r="AA16" s="15"/>
      <c r="AB16" s="15"/>
      <c r="AC16" s="15"/>
      <c r="AD16" s="15"/>
    </row>
    <row r="17" spans="1:30" ht="18">
      <c r="A17" s="2" t="s">
        <v>750</v>
      </c>
      <c r="B17" s="2"/>
      <c r="C17" s="2"/>
      <c r="D17" s="1">
        <v>2</v>
      </c>
      <c r="E17" s="2" t="s">
        <v>331</v>
      </c>
      <c r="F17" s="2"/>
      <c r="G17" s="2"/>
      <c r="H17" s="2"/>
      <c r="I17" s="2"/>
      <c r="J17" s="2"/>
      <c r="K17" s="2"/>
      <c r="L17" s="2"/>
      <c r="M17" s="2"/>
      <c r="N17" s="15"/>
      <c r="O17" s="15"/>
      <c r="P17" s="15"/>
      <c r="Q17" s="15"/>
      <c r="R17" s="15"/>
      <c r="S17" s="15"/>
      <c r="T17" s="15"/>
      <c r="U17" s="15"/>
      <c r="V17" s="15"/>
      <c r="W17" s="15"/>
      <c r="X17" s="15"/>
      <c r="Y17" s="15"/>
      <c r="Z17" s="15"/>
      <c r="AA17" s="15"/>
      <c r="AB17" s="15"/>
      <c r="AC17" s="15"/>
      <c r="AD17" s="15"/>
    </row>
    <row r="18" spans="1:30">
      <c r="A18" s="2"/>
      <c r="B18" s="2"/>
      <c r="C18" s="2"/>
      <c r="D18" s="2"/>
      <c r="E18" s="2"/>
      <c r="F18" s="2"/>
      <c r="G18" s="2"/>
      <c r="H18" s="2"/>
      <c r="I18" s="2"/>
      <c r="J18" s="2"/>
      <c r="K18" s="2"/>
      <c r="L18" s="2"/>
      <c r="M18" s="2"/>
      <c r="N18" s="15"/>
      <c r="O18" s="15"/>
      <c r="P18" s="15"/>
      <c r="Q18" s="15"/>
      <c r="R18" s="15"/>
      <c r="S18" s="15"/>
      <c r="T18" s="15"/>
      <c r="U18" s="15"/>
      <c r="V18" s="15"/>
      <c r="W18" s="15"/>
      <c r="X18" s="15"/>
      <c r="Y18" s="15"/>
      <c r="Z18" s="15"/>
      <c r="AA18" s="15"/>
      <c r="AB18" s="15"/>
      <c r="AC18" s="15"/>
      <c r="AD18" s="15"/>
    </row>
    <row r="19" spans="1:30">
      <c r="A19" s="7" t="s">
        <v>751</v>
      </c>
      <c r="B19" s="2"/>
      <c r="C19" s="2"/>
      <c r="D19" s="2"/>
      <c r="E19" s="7" t="s">
        <v>1</v>
      </c>
      <c r="F19" s="2"/>
      <c r="G19" s="2"/>
      <c r="H19" s="2"/>
      <c r="I19" s="2"/>
      <c r="J19" s="2"/>
      <c r="K19" s="2"/>
      <c r="L19" s="2"/>
      <c r="M19" s="2"/>
      <c r="N19" s="15"/>
      <c r="O19" s="15"/>
      <c r="P19" s="15"/>
      <c r="Q19" s="15"/>
      <c r="R19" s="15"/>
      <c r="S19" s="15"/>
      <c r="T19" s="15"/>
      <c r="U19" s="15"/>
      <c r="V19" s="15"/>
      <c r="W19" s="15"/>
      <c r="X19" s="15"/>
      <c r="Y19" s="15"/>
      <c r="Z19" s="15"/>
      <c r="AA19" s="15"/>
      <c r="AB19" s="15"/>
      <c r="AC19" s="15"/>
      <c r="AD19" s="15"/>
    </row>
    <row r="20" spans="1:30">
      <c r="A20" s="2" t="s">
        <v>752</v>
      </c>
      <c r="B20" s="2"/>
      <c r="C20" s="2"/>
      <c r="D20" s="2"/>
      <c r="E20" s="2"/>
      <c r="F20" s="2"/>
      <c r="G20" s="2"/>
      <c r="H20" s="2"/>
      <c r="I20" s="2"/>
      <c r="J20" s="2"/>
      <c r="K20" s="2"/>
      <c r="L20" s="2"/>
      <c r="M20" s="2"/>
      <c r="N20" s="15"/>
      <c r="O20" s="15"/>
      <c r="P20" s="15"/>
      <c r="Q20" s="15"/>
      <c r="R20" s="15"/>
      <c r="S20" s="15"/>
      <c r="T20" s="15"/>
      <c r="U20" s="15"/>
      <c r="V20" s="15"/>
      <c r="W20" s="15"/>
      <c r="X20" s="15"/>
      <c r="Y20" s="15"/>
      <c r="Z20" s="15"/>
      <c r="AA20" s="15"/>
      <c r="AB20" s="15"/>
      <c r="AC20" s="15"/>
      <c r="AD20" s="15"/>
    </row>
    <row r="21" spans="1:30">
      <c r="A21" s="2" t="s">
        <v>753</v>
      </c>
      <c r="B21" s="2"/>
      <c r="C21" s="2"/>
      <c r="D21" s="1">
        <v>68</v>
      </c>
      <c r="E21" s="2" t="s">
        <v>329</v>
      </c>
      <c r="F21" s="2"/>
      <c r="G21" s="2"/>
      <c r="H21" s="2"/>
      <c r="I21" s="2"/>
      <c r="J21" s="2"/>
      <c r="K21" s="2"/>
      <c r="L21" s="2"/>
      <c r="M21" s="2"/>
      <c r="N21" s="15"/>
      <c r="O21" s="15"/>
      <c r="P21" s="15"/>
      <c r="Q21" s="15"/>
      <c r="R21" s="15"/>
      <c r="S21" s="15"/>
      <c r="T21" s="15"/>
      <c r="U21" s="15"/>
      <c r="V21" s="15"/>
      <c r="W21" s="15"/>
      <c r="X21" s="15"/>
      <c r="Y21" s="15"/>
      <c r="Z21" s="15"/>
      <c r="AA21" s="15"/>
      <c r="AB21" s="15"/>
      <c r="AC21" s="15"/>
      <c r="AD21" s="15"/>
    </row>
    <row r="22" spans="1:30">
      <c r="A22" s="2" t="s">
        <v>754</v>
      </c>
      <c r="B22" s="2"/>
      <c r="C22" s="2"/>
      <c r="D22" s="1">
        <v>0</v>
      </c>
      <c r="E22" s="2" t="s">
        <v>329</v>
      </c>
      <c r="F22" s="2"/>
      <c r="G22" s="2"/>
      <c r="H22" s="2"/>
      <c r="I22" s="2"/>
      <c r="J22" s="2"/>
      <c r="K22" s="2"/>
      <c r="L22" s="2"/>
      <c r="M22" s="2"/>
      <c r="N22" s="15"/>
      <c r="O22" s="15"/>
      <c r="P22" s="15"/>
      <c r="Q22" s="15"/>
      <c r="R22" s="15"/>
      <c r="S22" s="15"/>
      <c r="T22" s="15"/>
      <c r="U22" s="15"/>
      <c r="V22" s="15"/>
      <c r="W22" s="15"/>
      <c r="X22" s="15"/>
      <c r="Y22" s="15"/>
      <c r="Z22" s="15"/>
      <c r="AA22" s="15"/>
      <c r="AB22" s="15"/>
      <c r="AC22" s="15"/>
      <c r="AD22" s="15"/>
    </row>
    <row r="23" spans="1:30">
      <c r="A23" s="2" t="s">
        <v>755</v>
      </c>
      <c r="B23" s="2"/>
      <c r="C23" s="2"/>
      <c r="D23" s="1">
        <v>0</v>
      </c>
      <c r="E23" s="2" t="s">
        <v>528</v>
      </c>
      <c r="F23" s="2"/>
      <c r="G23" s="2"/>
      <c r="H23" s="2"/>
      <c r="I23" s="2"/>
      <c r="J23" s="2"/>
      <c r="K23" s="2"/>
      <c r="L23" s="2"/>
      <c r="M23" s="2"/>
      <c r="N23" s="15"/>
      <c r="O23" s="15"/>
      <c r="P23" s="15"/>
      <c r="Q23" s="15"/>
      <c r="R23" s="15"/>
      <c r="S23" s="15"/>
      <c r="T23" s="15"/>
      <c r="U23" s="15"/>
      <c r="V23" s="15"/>
      <c r="W23" s="15"/>
      <c r="X23" s="15"/>
      <c r="Y23" s="15"/>
      <c r="Z23" s="15"/>
      <c r="AA23" s="15"/>
      <c r="AB23" s="15"/>
      <c r="AC23" s="15"/>
      <c r="AD23" s="15"/>
    </row>
    <row r="24" spans="1:30">
      <c r="A24" s="2" t="s">
        <v>524</v>
      </c>
      <c r="B24" s="2"/>
      <c r="C24" s="2"/>
      <c r="D24" s="1">
        <v>0.87</v>
      </c>
      <c r="E24" s="2" t="s">
        <v>331</v>
      </c>
      <c r="F24" s="2"/>
      <c r="G24" s="2"/>
      <c r="H24" s="2"/>
      <c r="I24" s="2"/>
      <c r="J24" s="2"/>
      <c r="K24" s="2"/>
      <c r="L24" s="2"/>
      <c r="M24" s="2"/>
      <c r="N24" s="15"/>
      <c r="O24" s="15"/>
      <c r="P24" s="15"/>
      <c r="Q24" s="15"/>
      <c r="R24" s="15"/>
      <c r="S24" s="15"/>
      <c r="T24" s="15"/>
      <c r="U24" s="15"/>
      <c r="V24" s="15"/>
      <c r="W24" s="15"/>
      <c r="X24" s="15"/>
      <c r="Y24" s="15"/>
      <c r="Z24" s="15"/>
      <c r="AA24" s="15"/>
      <c r="AB24" s="15"/>
      <c r="AC24" s="15"/>
      <c r="AD24" s="15"/>
    </row>
    <row r="25" spans="1:30">
      <c r="A25" s="37" t="s">
        <v>756</v>
      </c>
      <c r="B25" s="2"/>
      <c r="C25" s="2"/>
      <c r="D25" s="2"/>
      <c r="E25" s="2"/>
      <c r="F25" s="2"/>
      <c r="G25" s="2"/>
      <c r="H25" s="2"/>
      <c r="I25" s="2"/>
      <c r="J25" s="2"/>
      <c r="K25" s="2"/>
      <c r="L25" s="2"/>
      <c r="M25" s="2"/>
      <c r="N25" s="15"/>
      <c r="O25" s="15"/>
      <c r="P25" s="15"/>
      <c r="Q25" s="15"/>
      <c r="R25" s="15"/>
      <c r="S25" s="15"/>
      <c r="T25" s="15"/>
      <c r="U25" s="15"/>
      <c r="V25" s="15"/>
      <c r="W25" s="15"/>
      <c r="X25" s="15"/>
      <c r="Y25" s="15"/>
      <c r="Z25" s="15"/>
      <c r="AA25" s="15"/>
      <c r="AB25" s="15"/>
      <c r="AC25" s="15"/>
      <c r="AD25" s="15"/>
    </row>
    <row r="26" spans="1:30">
      <c r="A26" s="37" t="s">
        <v>757</v>
      </c>
      <c r="B26" s="2"/>
      <c r="C26" s="2"/>
      <c r="D26" s="2"/>
      <c r="E26" s="2"/>
      <c r="F26" s="2"/>
      <c r="G26" s="2"/>
      <c r="H26" s="2"/>
      <c r="I26" s="2"/>
      <c r="J26" s="2"/>
      <c r="K26" s="2"/>
      <c r="L26" s="2"/>
      <c r="M26" s="2"/>
      <c r="N26" s="15"/>
      <c r="O26" s="15"/>
      <c r="P26" s="15"/>
      <c r="Q26" s="15"/>
      <c r="R26" s="15"/>
      <c r="S26" s="15"/>
      <c r="T26" s="15"/>
      <c r="U26" s="15"/>
      <c r="V26" s="15"/>
      <c r="W26" s="15"/>
      <c r="X26" s="15"/>
      <c r="Y26" s="15"/>
      <c r="Z26" s="15"/>
      <c r="AA26" s="15"/>
      <c r="AB26" s="15"/>
      <c r="AC26" s="15"/>
      <c r="AD26" s="15"/>
    </row>
    <row r="27" spans="1:30">
      <c r="A27" s="2"/>
      <c r="B27" s="2"/>
      <c r="C27" s="2"/>
      <c r="D27" s="2"/>
      <c r="E27" s="2"/>
      <c r="F27" s="2"/>
      <c r="G27" s="2"/>
      <c r="H27" s="2"/>
      <c r="I27" s="2"/>
      <c r="J27" s="2"/>
      <c r="K27" s="2"/>
      <c r="L27" s="2"/>
      <c r="M27" s="2"/>
      <c r="N27" s="15"/>
      <c r="O27" s="15"/>
      <c r="P27" s="15"/>
      <c r="Q27" s="15"/>
      <c r="R27" s="15"/>
      <c r="S27" s="15"/>
      <c r="T27" s="15"/>
      <c r="U27" s="15"/>
      <c r="V27" s="15"/>
      <c r="W27" s="15"/>
      <c r="X27" s="15"/>
      <c r="Y27" s="15"/>
      <c r="Z27" s="15"/>
      <c r="AA27" s="15"/>
      <c r="AB27" s="15"/>
      <c r="AC27" s="15"/>
      <c r="AD27" s="15"/>
    </row>
    <row r="28" spans="1:30">
      <c r="A28" s="7" t="s">
        <v>758</v>
      </c>
      <c r="B28" s="2"/>
      <c r="C28" s="2"/>
      <c r="D28" s="2"/>
      <c r="E28" s="7" t="s">
        <v>1</v>
      </c>
      <c r="F28" s="2"/>
      <c r="G28" s="2"/>
      <c r="H28" s="2"/>
      <c r="I28" s="2"/>
      <c r="J28" s="2"/>
      <c r="K28" s="2"/>
      <c r="L28" s="2"/>
      <c r="M28" s="2"/>
      <c r="N28" s="15"/>
      <c r="O28" s="15"/>
      <c r="P28" s="15"/>
      <c r="Q28" s="15"/>
      <c r="R28" s="15"/>
      <c r="S28" s="15"/>
      <c r="T28" s="15"/>
      <c r="U28" s="15"/>
      <c r="V28" s="15"/>
      <c r="W28" s="15"/>
      <c r="X28" s="15"/>
      <c r="Y28" s="15"/>
      <c r="Z28" s="15"/>
      <c r="AA28" s="15"/>
      <c r="AB28" s="15"/>
      <c r="AC28" s="15"/>
      <c r="AD28" s="15"/>
    </row>
    <row r="29" spans="1:30">
      <c r="A29" s="2" t="s">
        <v>759</v>
      </c>
      <c r="B29" s="2"/>
      <c r="C29" s="2"/>
      <c r="D29" s="2"/>
      <c r="E29" s="2"/>
      <c r="F29" s="2"/>
      <c r="G29" s="2"/>
      <c r="H29" s="2"/>
      <c r="I29" s="2"/>
      <c r="J29" s="2"/>
      <c r="K29" s="2"/>
      <c r="L29" s="2"/>
      <c r="M29" s="2"/>
      <c r="N29" s="15"/>
      <c r="O29" s="15"/>
      <c r="P29" s="15"/>
      <c r="Q29" s="15"/>
      <c r="R29" s="15"/>
      <c r="S29" s="15"/>
      <c r="T29" s="15"/>
      <c r="U29" s="15"/>
      <c r="V29" s="15"/>
      <c r="W29" s="15"/>
      <c r="X29" s="15"/>
      <c r="Y29" s="15"/>
      <c r="Z29" s="15"/>
      <c r="AA29" s="15"/>
      <c r="AB29" s="15"/>
      <c r="AC29" s="15"/>
      <c r="AD29" s="15"/>
    </row>
    <row r="30" spans="1:30">
      <c r="A30" s="2" t="s">
        <v>550</v>
      </c>
      <c r="B30" s="2"/>
      <c r="C30" s="2"/>
      <c r="D30" s="1">
        <f>TLAR!B24</f>
        <v>1480</v>
      </c>
      <c r="E30" s="2" t="s">
        <v>5</v>
      </c>
      <c r="F30" s="2"/>
      <c r="G30" s="2"/>
      <c r="H30" s="2"/>
      <c r="I30" s="2"/>
      <c r="J30" s="2"/>
      <c r="K30" s="2"/>
      <c r="L30" s="2"/>
      <c r="M30" s="2"/>
      <c r="N30" s="15"/>
      <c r="O30" s="15"/>
      <c r="P30" s="15"/>
      <c r="Q30" s="15"/>
      <c r="R30" s="15"/>
      <c r="S30" s="15"/>
      <c r="T30" s="15"/>
      <c r="U30" s="15"/>
      <c r="V30" s="15"/>
      <c r="W30" s="15"/>
      <c r="X30" s="15"/>
      <c r="Y30" s="15"/>
      <c r="Z30" s="15"/>
      <c r="AA30" s="15"/>
      <c r="AB30" s="15"/>
      <c r="AC30" s="15"/>
      <c r="AD30" s="15"/>
    </row>
    <row r="31" spans="1:30">
      <c r="A31" s="2" t="s">
        <v>754</v>
      </c>
      <c r="B31" s="2"/>
      <c r="C31" s="2"/>
      <c r="D31" s="1">
        <v>0</v>
      </c>
      <c r="E31" s="2" t="s">
        <v>5</v>
      </c>
      <c r="F31" s="2"/>
      <c r="G31" s="2"/>
      <c r="H31" s="2"/>
      <c r="I31" s="2"/>
      <c r="J31" s="2"/>
      <c r="K31" s="2"/>
      <c r="L31" s="2"/>
      <c r="M31" s="2"/>
      <c r="N31" s="15"/>
      <c r="O31" s="15"/>
      <c r="P31" s="15"/>
      <c r="Q31" s="15"/>
      <c r="R31" s="15"/>
      <c r="S31" s="15"/>
      <c r="T31" s="15"/>
      <c r="U31" s="15"/>
      <c r="V31" s="15"/>
      <c r="W31" s="15"/>
      <c r="X31" s="15"/>
      <c r="Y31" s="15"/>
      <c r="Z31" s="15"/>
      <c r="AA31" s="15"/>
      <c r="AB31" s="15"/>
      <c r="AC31" s="15"/>
      <c r="AD31" s="15"/>
    </row>
    <row r="32" spans="1:30">
      <c r="A32" s="2" t="s">
        <v>755</v>
      </c>
      <c r="B32" s="2"/>
      <c r="C32" s="2"/>
      <c r="D32" s="1">
        <v>0</v>
      </c>
      <c r="E32" s="2" t="s">
        <v>528</v>
      </c>
      <c r="F32" s="2"/>
      <c r="G32" s="2"/>
      <c r="H32" s="2"/>
      <c r="I32" s="2"/>
      <c r="J32" s="2"/>
      <c r="K32" s="2"/>
      <c r="L32" s="2"/>
      <c r="M32" s="2"/>
      <c r="N32" s="15"/>
      <c r="O32" s="15"/>
      <c r="P32" s="15"/>
      <c r="Q32" s="15"/>
      <c r="R32" s="15"/>
      <c r="S32" s="15"/>
      <c r="T32" s="15"/>
      <c r="U32" s="15"/>
      <c r="V32" s="15"/>
      <c r="W32" s="15"/>
      <c r="X32" s="15"/>
      <c r="Y32" s="15"/>
      <c r="Z32" s="15"/>
      <c r="AA32" s="15"/>
      <c r="AB32" s="15"/>
      <c r="AC32" s="15"/>
      <c r="AD32" s="15"/>
    </row>
    <row r="33" spans="1:30">
      <c r="A33" s="2" t="s">
        <v>524</v>
      </c>
      <c r="B33" s="2"/>
      <c r="C33" s="2"/>
      <c r="D33" s="1">
        <f>TLAR!B29</f>
        <v>0.87</v>
      </c>
      <c r="E33" s="2" t="s">
        <v>331</v>
      </c>
      <c r="F33" s="2"/>
      <c r="G33" s="2"/>
      <c r="H33" s="2"/>
      <c r="I33" s="2"/>
      <c r="J33" s="2"/>
      <c r="K33" s="2"/>
      <c r="L33" s="2"/>
      <c r="M33" s="2"/>
      <c r="N33" s="15"/>
      <c r="O33" s="15"/>
      <c r="P33" s="15"/>
      <c r="Q33" s="15"/>
      <c r="R33" s="15"/>
      <c r="S33" s="15"/>
      <c r="T33" s="15"/>
      <c r="U33" s="15"/>
      <c r="V33" s="15"/>
      <c r="W33" s="15"/>
      <c r="X33" s="15"/>
      <c r="Y33" s="15"/>
      <c r="Z33" s="15"/>
      <c r="AA33" s="15"/>
      <c r="AB33" s="15"/>
      <c r="AC33" s="15"/>
      <c r="AD33" s="15"/>
    </row>
    <row r="34" spans="1:30" ht="17.25">
      <c r="A34" s="2" t="s">
        <v>760</v>
      </c>
      <c r="B34" s="2"/>
      <c r="C34" s="2"/>
      <c r="D34" s="1">
        <v>1.2250000000000001</v>
      </c>
      <c r="E34" s="2" t="s">
        <v>396</v>
      </c>
      <c r="F34" s="2"/>
      <c r="G34" s="2"/>
      <c r="H34" s="2"/>
      <c r="I34" s="2"/>
      <c r="J34" s="2"/>
      <c r="K34" s="2"/>
      <c r="L34" s="2"/>
      <c r="M34" s="2"/>
      <c r="N34" s="15"/>
      <c r="O34" s="15"/>
      <c r="P34" s="15"/>
      <c r="Q34" s="15"/>
      <c r="R34" s="15"/>
      <c r="S34" s="15"/>
      <c r="T34" s="15"/>
      <c r="U34" s="15"/>
      <c r="V34" s="15"/>
      <c r="W34" s="15"/>
      <c r="X34" s="15"/>
      <c r="Y34" s="15"/>
      <c r="Z34" s="15"/>
      <c r="AA34" s="15"/>
      <c r="AB34" s="15"/>
      <c r="AC34" s="15"/>
      <c r="AD34" s="15"/>
    </row>
    <row r="35" spans="1:30">
      <c r="A35" s="37" t="s">
        <v>761</v>
      </c>
      <c r="B35" s="2"/>
      <c r="C35" s="2"/>
      <c r="D35" s="2"/>
      <c r="E35" s="2"/>
      <c r="F35" s="2"/>
      <c r="G35" s="2"/>
      <c r="H35" s="2"/>
      <c r="I35" s="2"/>
      <c r="J35" s="2"/>
      <c r="K35" s="2"/>
      <c r="L35" s="2"/>
      <c r="M35" s="2"/>
      <c r="N35" s="15"/>
      <c r="O35" s="15"/>
      <c r="P35" s="15"/>
      <c r="Q35" s="15"/>
      <c r="R35" s="15"/>
      <c r="S35" s="15"/>
      <c r="T35" s="15"/>
      <c r="U35" s="15"/>
      <c r="V35" s="15"/>
      <c r="W35" s="15"/>
      <c r="X35" s="15"/>
      <c r="Y35" s="15"/>
      <c r="Z35" s="15"/>
      <c r="AA35" s="15"/>
      <c r="AB35" s="15"/>
      <c r="AC35" s="15"/>
      <c r="AD35" s="15"/>
    </row>
    <row r="36" spans="1:30">
      <c r="A36" s="37" t="s">
        <v>762</v>
      </c>
      <c r="B36" s="2"/>
      <c r="C36" s="2"/>
      <c r="D36" s="2"/>
      <c r="E36" s="2"/>
      <c r="F36" s="2"/>
      <c r="G36" s="2"/>
      <c r="H36" s="2"/>
      <c r="I36" s="2"/>
      <c r="J36" s="2"/>
      <c r="K36" s="2"/>
      <c r="L36" s="2"/>
      <c r="M36" s="2"/>
      <c r="N36" s="15"/>
      <c r="O36" s="15"/>
      <c r="P36" s="15"/>
      <c r="Q36" s="15"/>
      <c r="R36" s="15"/>
      <c r="S36" s="15"/>
      <c r="T36" s="15"/>
      <c r="U36" s="15"/>
      <c r="V36" s="15"/>
      <c r="W36" s="15"/>
      <c r="X36" s="15"/>
      <c r="Y36" s="15"/>
      <c r="Z36" s="15"/>
      <c r="AA36" s="15"/>
      <c r="AB36" s="15"/>
      <c r="AC36" s="15"/>
      <c r="AD36" s="15"/>
    </row>
    <row r="37" spans="1:30">
      <c r="A37" s="2"/>
      <c r="B37" s="2"/>
      <c r="C37" s="2"/>
      <c r="D37" s="2"/>
      <c r="E37" s="2"/>
      <c r="F37" s="2"/>
      <c r="G37" s="2"/>
      <c r="H37" s="2"/>
      <c r="I37" s="2"/>
      <c r="J37" s="2"/>
      <c r="K37" s="2"/>
      <c r="L37" s="2"/>
      <c r="M37" s="2"/>
      <c r="N37" s="15"/>
      <c r="O37" s="15"/>
      <c r="P37" s="15"/>
      <c r="Q37" s="15"/>
      <c r="R37" s="15"/>
      <c r="S37" s="15"/>
      <c r="T37" s="15"/>
      <c r="U37" s="15"/>
      <c r="V37" s="15"/>
      <c r="W37" s="15"/>
      <c r="X37" s="15"/>
      <c r="Y37" s="15"/>
      <c r="Z37" s="15"/>
      <c r="AA37" s="15"/>
      <c r="AB37" s="15"/>
      <c r="AC37" s="15"/>
      <c r="AD37" s="15"/>
    </row>
    <row r="38" spans="1:30">
      <c r="A38" s="7" t="s">
        <v>763</v>
      </c>
      <c r="B38" s="2"/>
      <c r="C38" s="2"/>
      <c r="D38" s="2"/>
      <c r="E38" s="7" t="s">
        <v>1</v>
      </c>
      <c r="F38" s="2"/>
      <c r="G38" s="2"/>
      <c r="H38" s="2"/>
      <c r="I38" s="2"/>
      <c r="J38" s="2"/>
      <c r="K38" s="2"/>
      <c r="L38" s="2"/>
      <c r="M38" s="2"/>
      <c r="N38" s="15"/>
      <c r="O38" s="15"/>
      <c r="P38" s="15"/>
      <c r="Q38" s="15"/>
      <c r="R38" s="15"/>
      <c r="S38" s="15"/>
      <c r="T38" s="15"/>
      <c r="U38" s="15"/>
      <c r="V38" s="15"/>
      <c r="W38" s="15"/>
      <c r="X38" s="15"/>
      <c r="Y38" s="15"/>
      <c r="Z38" s="15"/>
      <c r="AA38" s="15"/>
      <c r="AB38" s="15"/>
      <c r="AC38" s="15"/>
      <c r="AD38" s="15"/>
    </row>
    <row r="39" spans="1:30">
      <c r="A39" s="2" t="s">
        <v>764</v>
      </c>
      <c r="B39" s="2"/>
      <c r="C39" s="2"/>
      <c r="D39" s="1">
        <f>TLAR!B19</f>
        <v>10000</v>
      </c>
      <c r="E39" s="2" t="s">
        <v>5</v>
      </c>
      <c r="F39" s="2"/>
      <c r="G39" s="2"/>
      <c r="H39" s="2"/>
      <c r="I39" s="2"/>
      <c r="J39" s="2"/>
      <c r="K39" s="2"/>
      <c r="L39" s="2"/>
      <c r="M39" s="2"/>
      <c r="N39" s="15"/>
      <c r="O39" s="15"/>
      <c r="P39" s="15"/>
      <c r="Q39" s="15"/>
      <c r="R39" s="15"/>
      <c r="S39" s="15"/>
      <c r="T39" s="15"/>
      <c r="U39" s="15"/>
      <c r="V39" s="15"/>
      <c r="W39" s="15"/>
      <c r="X39" s="15"/>
      <c r="Y39" s="15"/>
      <c r="Z39" s="15"/>
      <c r="AA39" s="15"/>
      <c r="AB39" s="15"/>
      <c r="AC39" s="15"/>
      <c r="AD39" s="15"/>
    </row>
    <row r="40" spans="1:30">
      <c r="A40" s="37" t="s">
        <v>765</v>
      </c>
      <c r="B40" s="2"/>
      <c r="C40" s="2"/>
      <c r="D40" s="2"/>
      <c r="E40" s="2"/>
      <c r="F40" s="2"/>
      <c r="G40" s="2"/>
      <c r="H40" s="2"/>
      <c r="I40" s="2"/>
      <c r="J40" s="2"/>
      <c r="K40" s="2"/>
      <c r="L40" s="2"/>
      <c r="M40" s="2"/>
      <c r="N40" s="15"/>
      <c r="O40" s="15"/>
      <c r="P40" s="15"/>
      <c r="Q40" s="15"/>
      <c r="R40" s="15"/>
      <c r="S40" s="15"/>
      <c r="T40" s="15"/>
      <c r="U40" s="15"/>
      <c r="V40" s="15"/>
      <c r="W40" s="15"/>
      <c r="X40" s="15"/>
      <c r="Y40" s="15"/>
      <c r="Z40" s="15"/>
      <c r="AA40" s="15"/>
      <c r="AB40" s="15"/>
      <c r="AC40" s="15"/>
      <c r="AD40" s="15"/>
    </row>
    <row r="41" spans="1:30">
      <c r="A41" s="2" t="s">
        <v>766</v>
      </c>
      <c r="B41" s="2"/>
      <c r="C41" s="2"/>
      <c r="D41" s="1">
        <f>'Drag Polar'!D31</f>
        <v>5</v>
      </c>
      <c r="E41" s="2" t="s">
        <v>331</v>
      </c>
      <c r="F41" s="2"/>
      <c r="G41" s="2"/>
      <c r="H41" s="2"/>
      <c r="I41" s="2"/>
      <c r="J41" s="2"/>
      <c r="K41" s="2"/>
      <c r="L41" s="2"/>
      <c r="M41" s="2"/>
      <c r="N41" s="15"/>
      <c r="O41" s="15"/>
      <c r="P41" s="15"/>
      <c r="Q41" s="15"/>
      <c r="R41" s="15"/>
      <c r="S41" s="15"/>
      <c r="T41" s="15"/>
      <c r="U41" s="15"/>
      <c r="V41" s="15"/>
      <c r="W41" s="15"/>
      <c r="X41" s="15"/>
      <c r="Y41" s="15"/>
      <c r="Z41" s="15"/>
      <c r="AA41" s="15"/>
      <c r="AB41" s="15"/>
      <c r="AC41" s="15"/>
      <c r="AD41" s="15"/>
    </row>
    <row r="42" spans="1:30">
      <c r="A42" s="7" t="s">
        <v>767</v>
      </c>
      <c r="B42" s="2"/>
      <c r="C42" s="2"/>
      <c r="D42" s="2"/>
      <c r="E42" s="7" t="s">
        <v>1</v>
      </c>
      <c r="F42" s="2"/>
      <c r="G42" s="2"/>
      <c r="H42" s="2"/>
      <c r="I42" s="2"/>
      <c r="J42" s="2"/>
      <c r="K42" s="2"/>
      <c r="L42" s="2"/>
      <c r="M42" s="2"/>
      <c r="N42" s="15"/>
      <c r="O42" s="15"/>
      <c r="P42" s="15"/>
      <c r="Q42" s="15"/>
      <c r="R42" s="15"/>
      <c r="S42" s="15"/>
      <c r="T42" s="15"/>
      <c r="U42" s="15"/>
      <c r="V42" s="15"/>
      <c r="W42" s="15"/>
      <c r="X42" s="15"/>
      <c r="Y42" s="15"/>
      <c r="Z42" s="15"/>
      <c r="AA42" s="15"/>
      <c r="AB42" s="15"/>
      <c r="AC42" s="15"/>
      <c r="AD42" s="15"/>
    </row>
    <row r="43" spans="1:30">
      <c r="A43" s="2" t="s">
        <v>768</v>
      </c>
      <c r="B43" s="2"/>
      <c r="C43" s="2"/>
      <c r="D43" s="84">
        <f>Sheet1!C5</f>
        <v>245.47956929752539</v>
      </c>
      <c r="E43" s="2" t="s">
        <v>329</v>
      </c>
      <c r="F43" s="2"/>
      <c r="G43" s="2"/>
      <c r="H43" s="2"/>
      <c r="I43" s="2"/>
      <c r="J43" s="2"/>
      <c r="K43" s="2"/>
      <c r="L43" s="2"/>
      <c r="M43" s="2"/>
      <c r="N43" s="15"/>
      <c r="O43" s="15"/>
      <c r="P43" s="15"/>
      <c r="Q43" s="15"/>
      <c r="R43" s="15"/>
      <c r="S43" s="15"/>
      <c r="T43" s="15"/>
      <c r="U43" s="15"/>
      <c r="V43" s="15"/>
      <c r="W43" s="15"/>
      <c r="X43" s="15"/>
      <c r="Y43" s="15"/>
      <c r="Z43" s="15"/>
      <c r="AA43" s="15"/>
      <c r="AB43" s="15"/>
      <c r="AC43" s="15"/>
      <c r="AD43" s="15"/>
    </row>
    <row r="44" spans="1:30">
      <c r="A44" s="37" t="s">
        <v>769</v>
      </c>
      <c r="B44" s="2"/>
      <c r="C44" s="2"/>
      <c r="D44" s="2"/>
      <c r="E44" s="2"/>
      <c r="F44" s="2"/>
      <c r="G44" s="2"/>
      <c r="H44" s="2"/>
      <c r="I44" s="2"/>
      <c r="J44" s="2"/>
      <c r="K44" s="2"/>
      <c r="L44" s="2"/>
      <c r="M44" s="2"/>
      <c r="N44" s="15"/>
      <c r="O44" s="15"/>
      <c r="P44" s="15"/>
      <c r="Q44" s="15"/>
      <c r="R44" s="15"/>
      <c r="S44" s="15"/>
      <c r="T44" s="15"/>
      <c r="U44" s="15"/>
      <c r="V44" s="15"/>
      <c r="W44" s="15"/>
      <c r="X44" s="15"/>
      <c r="Y44" s="15"/>
      <c r="Z44" s="15"/>
      <c r="AA44" s="15"/>
      <c r="AB44" s="15"/>
      <c r="AC44" s="15"/>
      <c r="AD44" s="15"/>
    </row>
    <row r="45" spans="1:30">
      <c r="A45" s="2"/>
      <c r="B45" s="2"/>
      <c r="C45" s="2"/>
      <c r="D45" s="2"/>
      <c r="E45" s="2"/>
      <c r="F45" s="2"/>
      <c r="G45" s="2"/>
      <c r="H45" s="2"/>
      <c r="I45" s="2"/>
      <c r="J45" s="2"/>
      <c r="K45" s="2"/>
      <c r="L45" s="2"/>
      <c r="M45" s="2"/>
      <c r="N45" s="15"/>
      <c r="O45" s="15"/>
      <c r="P45" s="15"/>
      <c r="Q45" s="15"/>
      <c r="R45" s="15"/>
      <c r="S45" s="15"/>
      <c r="T45" s="15"/>
      <c r="U45" s="15"/>
      <c r="V45" s="15"/>
      <c r="W45" s="15"/>
      <c r="X45" s="15"/>
      <c r="Y45" s="15"/>
      <c r="Z45" s="15"/>
      <c r="AA45" s="15"/>
      <c r="AB45" s="15"/>
      <c r="AC45" s="15"/>
      <c r="AD45" s="15"/>
    </row>
    <row r="46" spans="1:30">
      <c r="A46" s="7" t="s">
        <v>770</v>
      </c>
      <c r="B46" s="2"/>
      <c r="C46" s="2"/>
      <c r="D46" s="2"/>
      <c r="E46" s="7" t="s">
        <v>1</v>
      </c>
      <c r="F46" s="2"/>
      <c r="G46" s="2"/>
      <c r="H46" s="2"/>
      <c r="I46" s="2"/>
      <c r="J46" s="2"/>
      <c r="K46" s="2"/>
      <c r="L46" s="2"/>
      <c r="M46" s="2"/>
      <c r="N46" s="15"/>
      <c r="O46" s="15"/>
      <c r="P46" s="15"/>
      <c r="Q46" s="15"/>
      <c r="R46" s="15"/>
      <c r="S46" s="15"/>
      <c r="T46" s="15"/>
      <c r="U46" s="15"/>
      <c r="V46" s="15"/>
      <c r="W46" s="15"/>
      <c r="X46" s="15"/>
      <c r="Y46" s="15"/>
      <c r="Z46" s="15"/>
      <c r="AA46" s="15"/>
      <c r="AB46" s="15"/>
      <c r="AC46" s="15"/>
      <c r="AD46" s="15"/>
    </row>
    <row r="47" spans="1:30">
      <c r="A47" s="2" t="s">
        <v>771</v>
      </c>
      <c r="B47" s="2"/>
      <c r="C47" s="2"/>
      <c r="D47" s="1">
        <v>4.7</v>
      </c>
      <c r="E47" s="2" t="s">
        <v>329</v>
      </c>
      <c r="F47" s="2"/>
      <c r="G47" s="2"/>
      <c r="H47" s="2"/>
      <c r="I47" s="2"/>
      <c r="J47" s="2"/>
      <c r="K47" s="2"/>
      <c r="L47" s="2"/>
      <c r="M47" s="2"/>
      <c r="N47" s="15"/>
      <c r="O47" s="15"/>
      <c r="P47" s="15"/>
      <c r="Q47" s="15"/>
      <c r="R47" s="15"/>
      <c r="S47" s="15"/>
      <c r="T47" s="15"/>
      <c r="U47" s="15"/>
      <c r="V47" s="15"/>
      <c r="W47" s="15"/>
      <c r="X47" s="15"/>
      <c r="Y47" s="15"/>
      <c r="Z47" s="15"/>
      <c r="AA47" s="15"/>
      <c r="AB47" s="15"/>
      <c r="AC47" s="15"/>
      <c r="AD47" s="15"/>
    </row>
    <row r="48" spans="1:30">
      <c r="A48" s="2" t="s">
        <v>754</v>
      </c>
      <c r="B48" s="2"/>
      <c r="C48" s="2"/>
      <c r="D48" s="1">
        <v>7400</v>
      </c>
      <c r="E48" s="2" t="s">
        <v>329</v>
      </c>
      <c r="F48" s="2"/>
      <c r="G48" s="2"/>
      <c r="H48" s="2"/>
      <c r="I48" s="2"/>
      <c r="J48" s="2"/>
      <c r="K48" s="2"/>
      <c r="L48" s="2"/>
      <c r="M48" s="2"/>
      <c r="N48" s="15"/>
      <c r="O48" s="15"/>
      <c r="P48" s="15"/>
      <c r="Q48" s="15"/>
      <c r="R48" s="15"/>
      <c r="S48" s="15"/>
      <c r="T48" s="15"/>
      <c r="U48" s="15"/>
      <c r="V48" s="15"/>
      <c r="W48" s="15"/>
      <c r="X48" s="15"/>
      <c r="Y48" s="15"/>
      <c r="Z48" s="15"/>
      <c r="AA48" s="15"/>
      <c r="AB48" s="15"/>
      <c r="AC48" s="15"/>
      <c r="AD48" s="15"/>
    </row>
    <row r="49" spans="1:30">
      <c r="A49" s="2" t="s">
        <v>524</v>
      </c>
      <c r="B49" s="2"/>
      <c r="C49" s="2"/>
      <c r="D49" s="1">
        <f>TLAR!B15</f>
        <v>0.95</v>
      </c>
      <c r="E49" s="2" t="s">
        <v>331</v>
      </c>
      <c r="F49" s="2"/>
      <c r="G49" s="2"/>
      <c r="H49" s="2"/>
      <c r="I49" s="2"/>
      <c r="J49" s="2"/>
      <c r="K49" s="2"/>
      <c r="L49" s="2"/>
      <c r="M49" s="2"/>
      <c r="N49" s="15"/>
      <c r="O49" s="15"/>
      <c r="P49" s="15"/>
      <c r="Q49" s="15"/>
      <c r="R49" s="15"/>
      <c r="S49" s="15"/>
      <c r="T49" s="15"/>
      <c r="U49" s="15"/>
      <c r="V49" s="15"/>
      <c r="W49" s="15"/>
      <c r="X49" s="15"/>
      <c r="Y49" s="15"/>
      <c r="Z49" s="15"/>
      <c r="AA49" s="15"/>
      <c r="AB49" s="15"/>
      <c r="AC49" s="15"/>
      <c r="AD49" s="15"/>
    </row>
    <row r="50" spans="1:30">
      <c r="A50" s="2" t="s">
        <v>755</v>
      </c>
      <c r="B50" s="2"/>
      <c r="C50" s="2"/>
      <c r="D50" s="16">
        <f>TLAR!B14-288.15</f>
        <v>-48.099999999999994</v>
      </c>
      <c r="E50" s="2" t="s">
        <v>528</v>
      </c>
      <c r="F50" s="2"/>
      <c r="G50" s="2"/>
      <c r="H50" s="2"/>
      <c r="I50" s="2"/>
      <c r="J50" s="2"/>
      <c r="K50" s="2"/>
      <c r="L50" s="2"/>
      <c r="M50" s="2"/>
      <c r="N50" s="15"/>
      <c r="O50" s="15"/>
      <c r="P50" s="15"/>
      <c r="Q50" s="15"/>
      <c r="R50" s="15"/>
      <c r="S50" s="15"/>
      <c r="T50" s="15"/>
      <c r="U50" s="15"/>
      <c r="V50" s="15"/>
      <c r="W50" s="15"/>
      <c r="X50" s="15"/>
      <c r="Y50" s="15"/>
      <c r="Z50" s="15"/>
      <c r="AA50" s="15"/>
      <c r="AB50" s="15"/>
      <c r="AC50" s="15"/>
      <c r="AD50" s="15"/>
    </row>
    <row r="51" spans="1:30">
      <c r="A51" s="37" t="s">
        <v>772</v>
      </c>
      <c r="B51" s="2"/>
      <c r="C51" s="2"/>
      <c r="D51" s="2"/>
      <c r="E51" s="2"/>
      <c r="F51" s="2"/>
      <c r="G51" s="2"/>
      <c r="H51" s="2"/>
      <c r="I51" s="2"/>
      <c r="J51" s="2"/>
      <c r="K51" s="2"/>
      <c r="L51" s="2"/>
      <c r="M51" s="2"/>
      <c r="N51" s="15"/>
      <c r="O51" s="15"/>
      <c r="P51" s="15"/>
      <c r="Q51" s="15"/>
      <c r="R51" s="15"/>
      <c r="S51" s="15"/>
      <c r="T51" s="15"/>
      <c r="U51" s="15"/>
      <c r="V51" s="15"/>
      <c r="W51" s="15"/>
      <c r="X51" s="15"/>
      <c r="Y51" s="15"/>
      <c r="Z51" s="15"/>
      <c r="AA51" s="15"/>
      <c r="AB51" s="15"/>
      <c r="AC51" s="15"/>
      <c r="AD51" s="15"/>
    </row>
    <row r="52" spans="1:30">
      <c r="A52" s="2" t="s">
        <v>541</v>
      </c>
      <c r="B52" s="2"/>
      <c r="C52" s="2"/>
      <c r="D52" s="1">
        <f>TLAR!B14</f>
        <v>240.04999999999998</v>
      </c>
      <c r="E52" s="2" t="s">
        <v>528</v>
      </c>
      <c r="F52" s="2"/>
      <c r="G52" s="2"/>
      <c r="H52" s="2"/>
      <c r="I52" s="2"/>
      <c r="J52" s="2"/>
      <c r="K52" s="2"/>
      <c r="L52" s="2"/>
      <c r="M52" s="2"/>
      <c r="N52" s="15"/>
      <c r="O52" s="15"/>
      <c r="P52" s="15"/>
      <c r="Q52" s="15"/>
      <c r="R52" s="15"/>
      <c r="S52" s="15"/>
      <c r="T52" s="15"/>
      <c r="U52" s="15"/>
      <c r="V52" s="15"/>
      <c r="W52" s="15"/>
      <c r="X52" s="15"/>
      <c r="Y52" s="15"/>
      <c r="Z52" s="15"/>
      <c r="AA52" s="15"/>
      <c r="AB52" s="15"/>
      <c r="AC52" s="15"/>
      <c r="AD52" s="15"/>
    </row>
    <row r="53" spans="1:30">
      <c r="A53" s="2" t="s">
        <v>773</v>
      </c>
      <c r="B53" s="2"/>
      <c r="C53" s="2"/>
      <c r="D53" s="1">
        <v>39300</v>
      </c>
      <c r="E53" s="2" t="s">
        <v>774</v>
      </c>
      <c r="F53" s="2"/>
      <c r="G53" s="2"/>
      <c r="H53" s="2"/>
      <c r="I53" s="2"/>
      <c r="J53" s="2"/>
      <c r="K53" s="2"/>
      <c r="L53" s="2"/>
      <c r="M53" s="2"/>
      <c r="N53" s="15"/>
      <c r="O53" s="15"/>
      <c r="P53" s="15"/>
      <c r="Q53" s="15"/>
      <c r="R53" s="15"/>
      <c r="S53" s="15"/>
      <c r="T53" s="15"/>
      <c r="U53" s="15"/>
      <c r="V53" s="15"/>
      <c r="W53" s="15"/>
      <c r="X53" s="15"/>
      <c r="Y53" s="15"/>
      <c r="Z53" s="15"/>
      <c r="AA53" s="15"/>
      <c r="AB53" s="15"/>
      <c r="AC53" s="15"/>
      <c r="AD53" s="15"/>
    </row>
    <row r="54" spans="1:30" ht="17.25">
      <c r="A54" s="2" t="s">
        <v>775</v>
      </c>
      <c r="B54" s="2"/>
      <c r="C54" s="2"/>
      <c r="D54" s="82">
        <f>1.225*0.4642</f>
        <v>0.56864500000000007</v>
      </c>
      <c r="E54" s="2" t="s">
        <v>396</v>
      </c>
      <c r="F54" s="2"/>
      <c r="G54" s="2"/>
      <c r="H54" s="2"/>
      <c r="I54" s="2"/>
      <c r="J54" s="2"/>
      <c r="K54" s="2"/>
      <c r="L54" s="2"/>
      <c r="M54" s="2"/>
      <c r="N54" s="15"/>
      <c r="O54" s="15"/>
      <c r="P54" s="15"/>
      <c r="Q54" s="15"/>
      <c r="R54" s="15"/>
      <c r="S54" s="15"/>
      <c r="T54" s="15"/>
      <c r="U54" s="15"/>
      <c r="V54" s="15"/>
      <c r="W54" s="15"/>
      <c r="X54" s="15"/>
      <c r="Y54" s="15"/>
      <c r="Z54" s="15"/>
      <c r="AA54" s="15"/>
      <c r="AB54" s="15"/>
      <c r="AC54" s="15"/>
      <c r="AD54" s="15"/>
    </row>
    <row r="55" spans="1:30">
      <c r="A55" s="2" t="s">
        <v>776</v>
      </c>
      <c r="B55" s="2"/>
      <c r="C55" s="2"/>
      <c r="D55" s="82">
        <f>SQRT(PI()*'Drag Polar'!D26*'Drag Polar'!D6*'Drag Polar'!D20)</f>
        <v>0.69767498554458052</v>
      </c>
      <c r="E55" s="2" t="s">
        <v>331</v>
      </c>
      <c r="F55" s="2"/>
      <c r="G55" s="2"/>
      <c r="H55" s="2"/>
      <c r="I55" s="2"/>
      <c r="J55" s="2"/>
      <c r="K55" s="2"/>
      <c r="L55" s="2"/>
      <c r="M55" s="2"/>
      <c r="N55" s="15"/>
      <c r="O55" s="15"/>
      <c r="P55" s="15"/>
      <c r="Q55" s="15"/>
      <c r="R55" s="15"/>
      <c r="S55" s="15"/>
      <c r="T55" s="15"/>
      <c r="U55" s="15"/>
      <c r="V55" s="15"/>
      <c r="W55" s="15"/>
      <c r="X55" s="15"/>
      <c r="Y55" s="15"/>
      <c r="Z55" s="15"/>
      <c r="AA55" s="15"/>
      <c r="AB55" s="15"/>
      <c r="AC55" s="15"/>
      <c r="AD55" s="15"/>
    </row>
    <row r="56" spans="1:30">
      <c r="A56" s="37" t="s">
        <v>777</v>
      </c>
      <c r="B56" s="2"/>
      <c r="C56" s="2"/>
      <c r="D56" s="2"/>
      <c r="E56" s="2"/>
      <c r="F56" s="2"/>
      <c r="G56" s="2"/>
      <c r="H56" s="2"/>
      <c r="I56" s="2"/>
      <c r="J56" s="2"/>
      <c r="K56" s="2"/>
      <c r="L56" s="2"/>
      <c r="M56" s="2"/>
      <c r="N56" s="15"/>
      <c r="O56" s="15"/>
      <c r="P56" s="15"/>
      <c r="Q56" s="15"/>
      <c r="R56" s="15"/>
      <c r="S56" s="15"/>
      <c r="T56" s="15"/>
      <c r="U56" s="15"/>
      <c r="V56" s="15"/>
      <c r="W56" s="15"/>
      <c r="X56" s="15"/>
      <c r="Y56" s="15"/>
      <c r="Z56" s="15"/>
      <c r="AA56" s="15"/>
      <c r="AB56" s="15"/>
      <c r="AC56" s="15"/>
      <c r="AD56" s="15"/>
    </row>
    <row r="57" spans="1:30">
      <c r="A57" s="2"/>
      <c r="B57" s="2"/>
      <c r="C57" s="2"/>
      <c r="D57" s="2"/>
      <c r="E57" s="2"/>
      <c r="F57" s="2"/>
      <c r="G57" s="2"/>
      <c r="H57" s="2"/>
      <c r="I57" s="2"/>
      <c r="J57" s="2"/>
      <c r="K57" s="2"/>
      <c r="L57" s="2"/>
      <c r="M57" s="2"/>
      <c r="N57" s="15"/>
      <c r="O57" s="15"/>
      <c r="P57" s="15"/>
      <c r="Q57" s="15"/>
      <c r="R57" s="15"/>
      <c r="S57" s="15"/>
      <c r="T57" s="15"/>
      <c r="U57" s="15"/>
      <c r="V57" s="15"/>
      <c r="W57" s="15"/>
      <c r="X57" s="15"/>
      <c r="Y57" s="15"/>
      <c r="Z57" s="15"/>
      <c r="AA57" s="15"/>
      <c r="AB57" s="15"/>
      <c r="AC57" s="15"/>
      <c r="AD57" s="15"/>
    </row>
    <row r="58" spans="1:30">
      <c r="A58" s="7" t="s">
        <v>778</v>
      </c>
      <c r="B58" s="2"/>
      <c r="C58" s="2"/>
      <c r="D58" s="42" t="s">
        <v>779</v>
      </c>
      <c r="E58" s="2"/>
      <c r="F58" s="2"/>
      <c r="G58" s="2"/>
      <c r="H58" s="2"/>
      <c r="I58" s="2"/>
      <c r="J58" s="2"/>
      <c r="K58" s="2"/>
      <c r="L58" s="2"/>
      <c r="M58" s="2"/>
      <c r="N58" s="15"/>
      <c r="O58" s="15"/>
      <c r="P58" s="15"/>
      <c r="Q58" s="15"/>
      <c r="R58" s="15"/>
      <c r="S58" s="15"/>
      <c r="T58" s="15"/>
      <c r="U58" s="15"/>
      <c r="V58" s="15"/>
      <c r="W58" s="15"/>
      <c r="X58" s="15"/>
      <c r="Y58" s="15"/>
      <c r="Z58" s="15"/>
      <c r="AA58" s="15"/>
      <c r="AB58" s="15"/>
      <c r="AC58" s="15"/>
      <c r="AD58" s="15"/>
    </row>
    <row r="59" spans="1:30">
      <c r="A59" s="2" t="s">
        <v>780</v>
      </c>
      <c r="B59" s="2"/>
      <c r="C59" s="2"/>
      <c r="D59" s="7">
        <v>25.119</v>
      </c>
      <c r="E59" s="7" t="s">
        <v>781</v>
      </c>
      <c r="F59" s="7" t="s">
        <v>782</v>
      </c>
      <c r="G59" s="7" t="s">
        <v>783</v>
      </c>
      <c r="H59" s="7" t="s">
        <v>784</v>
      </c>
      <c r="I59" s="7" t="s">
        <v>1</v>
      </c>
      <c r="J59" s="2"/>
      <c r="K59" s="2"/>
      <c r="L59" s="2"/>
      <c r="M59" s="2"/>
      <c r="N59" s="15"/>
      <c r="O59" s="15"/>
      <c r="P59" s="15"/>
      <c r="Q59" s="15"/>
      <c r="R59" s="15"/>
      <c r="S59" s="15"/>
      <c r="T59" s="15"/>
      <c r="U59" s="15"/>
      <c r="V59" s="15"/>
      <c r="W59" s="15"/>
      <c r="X59" s="15"/>
      <c r="Y59" s="15"/>
      <c r="Z59" s="15"/>
      <c r="AA59" s="15"/>
      <c r="AB59" s="15"/>
      <c r="AC59" s="15"/>
      <c r="AD59" s="15"/>
    </row>
    <row r="60" spans="1:30">
      <c r="A60" s="2" t="s">
        <v>754</v>
      </c>
      <c r="B60" s="2"/>
      <c r="C60" s="2"/>
      <c r="D60" s="2">
        <v>0</v>
      </c>
      <c r="E60" s="2">
        <v>0</v>
      </c>
      <c r="F60" s="2">
        <v>0</v>
      </c>
      <c r="G60" s="2">
        <v>0</v>
      </c>
      <c r="H60" s="2">
        <v>0</v>
      </c>
      <c r="I60" s="2" t="s">
        <v>5</v>
      </c>
      <c r="J60" s="2"/>
      <c r="K60" s="2"/>
      <c r="L60" s="2"/>
      <c r="M60" s="2"/>
      <c r="N60" s="15"/>
      <c r="O60" s="15"/>
      <c r="P60" s="15"/>
      <c r="Q60" s="15"/>
      <c r="R60" s="15"/>
      <c r="S60" s="15"/>
      <c r="T60" s="15"/>
      <c r="U60" s="15"/>
      <c r="V60" s="15"/>
      <c r="W60" s="15"/>
      <c r="X60" s="15"/>
      <c r="Y60" s="15"/>
      <c r="Z60" s="15"/>
      <c r="AA60" s="15"/>
      <c r="AB60" s="15"/>
      <c r="AC60" s="15"/>
      <c r="AD60" s="15"/>
    </row>
    <row r="61" spans="1:30">
      <c r="A61" s="2" t="s">
        <v>785</v>
      </c>
      <c r="B61" s="2"/>
      <c r="C61" s="2"/>
      <c r="D61" s="2">
        <f>TLAR!F10</f>
        <v>2</v>
      </c>
      <c r="E61" s="2">
        <f>TLAR!F18</f>
        <v>1</v>
      </c>
      <c r="F61" s="2">
        <f>TLAR!F25</f>
        <v>1</v>
      </c>
      <c r="G61" s="2">
        <f>TLAR!F32</f>
        <v>1</v>
      </c>
      <c r="H61" s="2">
        <f>TLAR!F39</f>
        <v>1</v>
      </c>
      <c r="I61" s="2"/>
      <c r="J61" s="2"/>
      <c r="K61" s="2"/>
      <c r="L61" s="2"/>
      <c r="M61" s="2"/>
      <c r="N61" s="15"/>
      <c r="O61" s="15"/>
      <c r="P61" s="15"/>
      <c r="Q61" s="15"/>
      <c r="R61" s="15"/>
      <c r="S61" s="15"/>
      <c r="T61" s="15"/>
      <c r="U61" s="15"/>
      <c r="V61" s="15"/>
      <c r="W61" s="15"/>
      <c r="X61" s="15"/>
      <c r="Y61" s="15"/>
      <c r="Z61" s="15"/>
      <c r="AA61" s="15"/>
      <c r="AB61" s="15"/>
      <c r="AC61" s="15"/>
      <c r="AD61" s="15"/>
    </row>
    <row r="62" spans="1:30">
      <c r="A62" s="2" t="s">
        <v>524</v>
      </c>
      <c r="B62" s="2"/>
      <c r="C62" s="2"/>
      <c r="D62" s="2">
        <f>TLAR!F6</f>
        <v>1</v>
      </c>
      <c r="E62" s="2">
        <f>TLAR!F14</f>
        <v>1</v>
      </c>
      <c r="F62" s="2">
        <f>TLAR!F21</f>
        <v>1</v>
      </c>
      <c r="G62" s="2">
        <f>TLAR!F28</f>
        <v>1</v>
      </c>
      <c r="H62" s="2">
        <f>TLAR!F35</f>
        <v>0.87</v>
      </c>
      <c r="I62" s="2"/>
      <c r="J62" s="2"/>
      <c r="K62" s="2"/>
      <c r="L62" s="2"/>
      <c r="M62" s="2"/>
      <c r="N62" s="15"/>
      <c r="O62" s="15"/>
      <c r="P62" s="15"/>
      <c r="Q62" s="15"/>
      <c r="R62" s="15"/>
      <c r="S62" s="15"/>
      <c r="T62" s="15"/>
      <c r="U62" s="15"/>
      <c r="V62" s="15"/>
      <c r="W62" s="15"/>
      <c r="X62" s="15"/>
      <c r="Y62" s="15"/>
      <c r="Z62" s="15"/>
      <c r="AA62" s="15"/>
      <c r="AB62" s="15"/>
      <c r="AC62" s="15"/>
      <c r="AD62" s="15"/>
    </row>
    <row r="63" spans="1:30">
      <c r="A63" s="2" t="s">
        <v>786</v>
      </c>
      <c r="B63" s="2"/>
      <c r="C63" s="2"/>
      <c r="D63" s="2">
        <v>0</v>
      </c>
      <c r="E63" s="2">
        <v>0</v>
      </c>
      <c r="F63" s="2">
        <v>0</v>
      </c>
      <c r="G63" s="2">
        <v>0</v>
      </c>
      <c r="H63" s="2">
        <v>0</v>
      </c>
      <c r="I63" s="2" t="s">
        <v>528</v>
      </c>
      <c r="J63" s="2"/>
      <c r="K63" s="2"/>
      <c r="L63" s="2"/>
      <c r="M63" s="2"/>
      <c r="N63" s="15"/>
      <c r="O63" s="15"/>
      <c r="P63" s="15"/>
      <c r="Q63" s="15"/>
      <c r="R63" s="15"/>
      <c r="S63" s="15"/>
      <c r="T63" s="15"/>
      <c r="U63" s="15"/>
      <c r="V63" s="15"/>
      <c r="W63" s="15"/>
      <c r="X63" s="15"/>
      <c r="Y63" s="15"/>
      <c r="Z63" s="15"/>
      <c r="AA63" s="15"/>
      <c r="AB63" s="15"/>
      <c r="AC63" s="15"/>
      <c r="AD63" s="15"/>
    </row>
    <row r="64" spans="1:30">
      <c r="A64" s="2" t="s">
        <v>787</v>
      </c>
      <c r="B64" s="2"/>
      <c r="C64" s="2"/>
      <c r="D64" s="91">
        <f>'Drag Polar'!D44</f>
        <v>9.3700000000000006E-2</v>
      </c>
      <c r="E64" s="91">
        <f>'Drag Polar'!D42</f>
        <v>6.7699999999999996E-2</v>
      </c>
      <c r="F64" s="91">
        <f>'Drag Polar'!D41</f>
        <v>4.7699999999999999E-2</v>
      </c>
      <c r="G64" s="91">
        <f>'Drag Polar'!D39</f>
        <v>2.1700000000000001E-2</v>
      </c>
      <c r="H64" s="91">
        <f>'Drag Polar'!D40</f>
        <v>4.1700000000000001E-2</v>
      </c>
      <c r="I64" s="2" t="s">
        <v>331</v>
      </c>
      <c r="J64" s="2"/>
      <c r="K64" s="2"/>
      <c r="L64" s="2"/>
      <c r="M64" s="2"/>
      <c r="N64" s="15"/>
      <c r="O64" s="15"/>
      <c r="P64" s="15"/>
      <c r="Q64" s="15"/>
      <c r="R64" s="15"/>
      <c r="S64" s="15"/>
      <c r="T64" s="15"/>
      <c r="U64" s="15"/>
      <c r="V64" s="15"/>
      <c r="W64" s="15"/>
      <c r="X64" s="15"/>
      <c r="Y64" s="15"/>
      <c r="Z64" s="15"/>
      <c r="AA64" s="15"/>
      <c r="AB64" s="15"/>
      <c r="AC64" s="15"/>
      <c r="AD64" s="15"/>
    </row>
    <row r="65" spans="1:46">
      <c r="A65" s="2" t="s">
        <v>788</v>
      </c>
      <c r="B65" s="2"/>
      <c r="C65" s="2"/>
      <c r="D65" s="82">
        <f>'Drag Polar'!E44</f>
        <v>0.99081525095933443</v>
      </c>
      <c r="E65" s="82">
        <f>'Drag Polar'!E42</f>
        <v>0.89881525095933446</v>
      </c>
      <c r="F65" s="82">
        <f>'Drag Polar'!E41</f>
        <v>0.89881525095933446</v>
      </c>
      <c r="G65" s="82">
        <f>'Drag Polar'!E40</f>
        <v>0.80681525095933448</v>
      </c>
      <c r="H65" s="82">
        <f>'Drag Polar'!E40</f>
        <v>0.80681525095933448</v>
      </c>
      <c r="I65" s="2" t="s">
        <v>331</v>
      </c>
      <c r="J65" s="2"/>
      <c r="K65" s="2"/>
      <c r="L65" s="2"/>
      <c r="M65" s="2"/>
      <c r="N65" s="15"/>
      <c r="O65" s="15"/>
      <c r="P65" s="15"/>
      <c r="Q65" s="15"/>
      <c r="R65" s="15"/>
      <c r="S65" s="15"/>
      <c r="T65" s="15"/>
      <c r="U65" s="15"/>
      <c r="V65" s="15"/>
      <c r="W65" s="15"/>
      <c r="X65" s="15"/>
      <c r="Y65" s="15"/>
      <c r="Z65" s="15"/>
      <c r="AA65" s="15"/>
      <c r="AB65" s="15"/>
      <c r="AC65" s="15"/>
      <c r="AD65" s="15"/>
    </row>
    <row r="66" spans="1:46">
      <c r="A66" s="2" t="s">
        <v>541</v>
      </c>
      <c r="B66" s="2"/>
      <c r="C66" s="2"/>
      <c r="D66" s="2">
        <v>288.14999999999998</v>
      </c>
      <c r="E66" s="2">
        <v>288.14999999999998</v>
      </c>
      <c r="F66" s="2">
        <v>288.14999999999998</v>
      </c>
      <c r="G66" s="2">
        <v>288.14999999999998</v>
      </c>
      <c r="H66" s="2">
        <v>288.14999999999998</v>
      </c>
      <c r="I66" s="2" t="s">
        <v>528</v>
      </c>
      <c r="J66" s="2"/>
      <c r="K66" s="2"/>
      <c r="L66" s="2"/>
      <c r="M66" s="2"/>
      <c r="N66" s="15"/>
      <c r="O66" s="15"/>
      <c r="P66" s="15"/>
      <c r="Q66" s="15"/>
      <c r="R66" s="15"/>
      <c r="S66" s="15"/>
      <c r="T66" s="15"/>
      <c r="U66" s="15"/>
      <c r="V66" s="15"/>
      <c r="W66" s="15"/>
      <c r="X66" s="15"/>
      <c r="Y66" s="15"/>
      <c r="Z66" s="15"/>
      <c r="AA66" s="15"/>
      <c r="AB66" s="15"/>
      <c r="AC66" s="15"/>
      <c r="AD66" s="15"/>
    </row>
    <row r="67" spans="1:46" ht="17.25">
      <c r="A67" s="2" t="s">
        <v>775</v>
      </c>
      <c r="B67" s="2"/>
      <c r="C67" s="2"/>
      <c r="D67" s="2">
        <v>1.2250000000000001</v>
      </c>
      <c r="E67" s="2">
        <v>1.2250000000000001</v>
      </c>
      <c r="F67" s="2">
        <v>1.2250000000000001</v>
      </c>
      <c r="G67" s="2">
        <v>1.2250000000000001</v>
      </c>
      <c r="H67" s="2">
        <v>1.2250000000000001</v>
      </c>
      <c r="I67" s="2" t="s">
        <v>396</v>
      </c>
      <c r="J67" s="2"/>
      <c r="K67" s="2"/>
      <c r="L67" s="2"/>
      <c r="M67" s="2"/>
      <c r="N67" s="15"/>
      <c r="O67" s="15"/>
      <c r="P67" s="15"/>
      <c r="Q67" s="15"/>
      <c r="R67" s="15"/>
      <c r="S67" s="15"/>
      <c r="T67" s="15"/>
      <c r="U67" s="15"/>
      <c r="V67" s="15"/>
      <c r="W67" s="15"/>
      <c r="X67" s="15"/>
      <c r="Y67" s="15"/>
      <c r="Z67" s="15"/>
      <c r="AA67" s="15"/>
      <c r="AB67" s="15"/>
      <c r="AC67" s="15"/>
      <c r="AD67" s="15"/>
    </row>
    <row r="68" spans="1:46" ht="30" customHeight="1">
      <c r="A68" s="320" t="s">
        <v>789</v>
      </c>
      <c r="B68" s="320"/>
      <c r="C68" s="330"/>
      <c r="D68" s="83">
        <f>D16/1.1</f>
        <v>2.2727272727272725</v>
      </c>
      <c r="E68" s="83">
        <f>D17/1.1</f>
        <v>1.8181818181818181</v>
      </c>
      <c r="F68" s="83">
        <f>D17/1.1</f>
        <v>1.8181818181818181</v>
      </c>
      <c r="G68" s="83">
        <f>D13/1.1</f>
        <v>1.1818181818181817</v>
      </c>
      <c r="H68" s="83">
        <f>D16/1.1</f>
        <v>2.2727272727272725</v>
      </c>
      <c r="I68" s="2" t="s">
        <v>331</v>
      </c>
      <c r="J68" s="2"/>
      <c r="K68" s="2"/>
      <c r="L68" s="2"/>
      <c r="M68" s="2"/>
      <c r="N68" s="15"/>
      <c r="O68" s="15"/>
      <c r="P68" s="15"/>
      <c r="Q68" s="15"/>
      <c r="R68" s="15"/>
      <c r="S68" s="15"/>
      <c r="T68" s="15"/>
      <c r="U68" s="15"/>
      <c r="V68" s="15"/>
      <c r="W68" s="15"/>
      <c r="X68" s="15"/>
      <c r="Y68" s="15"/>
      <c r="Z68" s="15"/>
      <c r="AA68" s="15"/>
      <c r="AB68" s="15"/>
      <c r="AC68" s="15"/>
      <c r="AD68" s="15"/>
    </row>
    <row r="69" spans="1:46">
      <c r="A69" s="2" t="s">
        <v>790</v>
      </c>
      <c r="B69" s="2"/>
      <c r="C69" s="2"/>
      <c r="D69" s="82">
        <f>D64+(D68^2)/(PI()*D65*'Drag Polar'!$D$6)</f>
        <v>0.28121218432744982</v>
      </c>
      <c r="E69" s="82">
        <f>E64+(E68^2)/(PI()*E65*'Drag Polar'!$D$6)</f>
        <v>0.19999143178799289</v>
      </c>
      <c r="F69" s="82">
        <f>F64+(F68^2)/(PI()*F65*'Drag Polar'!$D$6)</f>
        <v>0.1799914317879929</v>
      </c>
      <c r="G69" s="82">
        <f>G64+(G68^2)/(PI()*G65*'Drag Polar'!$D$6)</f>
        <v>8.3966544349012961E-2</v>
      </c>
      <c r="H69" s="82">
        <f>H64+(H68^2)/(PI()*H65*'Drag Polar'!$D$6)</f>
        <v>0.2719756817641012</v>
      </c>
      <c r="I69" s="2" t="s">
        <v>331</v>
      </c>
      <c r="J69" s="2"/>
      <c r="K69" s="2"/>
      <c r="L69" s="2"/>
      <c r="M69" s="2"/>
      <c r="N69" s="15"/>
      <c r="O69" s="15"/>
      <c r="P69" s="15"/>
      <c r="Q69" s="15"/>
      <c r="R69" s="15"/>
      <c r="S69" s="15"/>
      <c r="T69" s="15"/>
      <c r="U69" s="15"/>
      <c r="V69" s="15"/>
      <c r="W69" s="15"/>
      <c r="X69" s="15"/>
      <c r="Y69" s="15"/>
      <c r="Z69" s="15"/>
      <c r="AA69" s="15"/>
      <c r="AB69" s="15"/>
      <c r="AC69" s="15"/>
      <c r="AD69" s="15"/>
    </row>
    <row r="70" spans="1:46">
      <c r="A70" s="37" t="s">
        <v>791</v>
      </c>
      <c r="B70" s="2"/>
      <c r="C70" s="2"/>
      <c r="D70" s="2"/>
      <c r="E70" s="2"/>
      <c r="F70" s="2"/>
      <c r="G70" s="2"/>
      <c r="H70" s="2"/>
      <c r="I70" s="2"/>
      <c r="J70" s="2"/>
      <c r="K70" s="2"/>
      <c r="L70" s="2"/>
      <c r="M70" s="2"/>
      <c r="N70" s="15"/>
      <c r="O70" s="15"/>
      <c r="P70" s="15"/>
      <c r="Q70" s="15"/>
      <c r="R70" s="15"/>
      <c r="S70" s="15"/>
      <c r="T70" s="15"/>
      <c r="U70" s="15"/>
      <c r="V70" s="15"/>
      <c r="W70" s="15"/>
      <c r="X70" s="15"/>
      <c r="Y70" s="15"/>
      <c r="Z70" s="15"/>
      <c r="AA70" s="15"/>
      <c r="AB70" s="15"/>
      <c r="AC70" s="15"/>
      <c r="AD70" s="15"/>
    </row>
    <row r="71" spans="1:46">
      <c r="A71" s="2"/>
      <c r="B71" s="2"/>
      <c r="C71" s="2"/>
      <c r="D71" s="2"/>
      <c r="E71" s="2"/>
      <c r="F71" s="2"/>
      <c r="G71" s="2"/>
      <c r="H71" s="2"/>
      <c r="I71" s="2"/>
      <c r="J71" s="2"/>
      <c r="K71" s="2"/>
      <c r="L71" s="2"/>
      <c r="M71" s="2"/>
      <c r="N71" s="15"/>
      <c r="O71" s="15"/>
      <c r="P71" s="15"/>
      <c r="Q71" s="15"/>
      <c r="R71" s="15"/>
      <c r="S71" s="15"/>
      <c r="T71" s="15"/>
      <c r="U71" s="15"/>
      <c r="V71" s="15"/>
      <c r="W71" s="15"/>
      <c r="X71" s="15"/>
      <c r="Y71" s="15"/>
      <c r="Z71" s="15"/>
      <c r="AA71" s="15"/>
      <c r="AB71" s="15"/>
      <c r="AC71" s="15"/>
      <c r="AD71" s="15"/>
    </row>
    <row r="72" spans="1:46">
      <c r="A72" s="7" t="s">
        <v>792</v>
      </c>
      <c r="B72" s="2"/>
      <c r="C72" s="2"/>
      <c r="D72" s="2"/>
      <c r="E72" s="7" t="s">
        <v>1</v>
      </c>
      <c r="F72" s="2"/>
      <c r="G72" s="2"/>
      <c r="H72" s="2"/>
      <c r="I72" s="2"/>
      <c r="J72" s="2"/>
      <c r="K72" s="2"/>
      <c r="L72" s="2"/>
      <c r="M72" s="2"/>
      <c r="N72" s="15"/>
      <c r="O72" s="15"/>
      <c r="P72" s="15"/>
      <c r="Q72" s="15"/>
      <c r="R72" s="15"/>
      <c r="S72" s="15"/>
      <c r="T72" s="15"/>
      <c r="U72" s="15"/>
      <c r="V72" s="15"/>
      <c r="W72" s="15"/>
      <c r="X72" s="15"/>
      <c r="Y72" s="15"/>
      <c r="Z72" s="15"/>
      <c r="AA72" s="15"/>
      <c r="AB72" s="15"/>
      <c r="AC72" s="15"/>
      <c r="AD72" s="15"/>
    </row>
    <row r="73" spans="1:46">
      <c r="A73" s="2" t="s">
        <v>793</v>
      </c>
      <c r="B73" s="2"/>
      <c r="C73" s="2"/>
      <c r="D73" s="2">
        <f>TLAR!B5</f>
        <v>2680</v>
      </c>
      <c r="E73" s="2" t="s">
        <v>5</v>
      </c>
      <c r="F73" s="2"/>
      <c r="G73" s="2"/>
      <c r="H73" s="2"/>
      <c r="I73" s="2"/>
      <c r="J73" s="2"/>
      <c r="K73" s="2"/>
      <c r="L73" s="2"/>
      <c r="M73" s="2"/>
      <c r="N73" s="15"/>
      <c r="O73" s="15"/>
      <c r="P73" s="15"/>
      <c r="Q73" s="15"/>
      <c r="R73" s="15"/>
      <c r="S73" s="15"/>
      <c r="T73" s="15"/>
      <c r="U73" s="15"/>
      <c r="V73" s="15"/>
      <c r="W73" s="15"/>
      <c r="X73" s="15"/>
      <c r="Y73" s="15"/>
      <c r="Z73" s="15"/>
      <c r="AA73" s="15"/>
      <c r="AB73" s="15"/>
      <c r="AC73" s="15"/>
      <c r="AD73" s="15"/>
    </row>
    <row r="74" spans="1:46">
      <c r="A74" s="2" t="s">
        <v>794</v>
      </c>
      <c r="B74" s="2"/>
      <c r="C74" s="2"/>
      <c r="D74" s="2">
        <f>TLAR!B7</f>
        <v>500</v>
      </c>
      <c r="E74" s="2" t="s">
        <v>5</v>
      </c>
      <c r="F74" s="2"/>
      <c r="G74" s="2"/>
      <c r="H74" s="2"/>
      <c r="I74" s="2"/>
      <c r="J74" s="2"/>
      <c r="K74" s="2"/>
      <c r="L74" s="2"/>
      <c r="M74" s="2"/>
      <c r="N74" s="15"/>
      <c r="O74" s="15"/>
      <c r="P74" s="15"/>
      <c r="Q74" s="15"/>
      <c r="R74" s="15"/>
      <c r="S74" s="15"/>
      <c r="T74" s="15"/>
      <c r="U74" s="15"/>
      <c r="V74" s="15"/>
      <c r="W74" s="15"/>
      <c r="X74" s="15"/>
      <c r="Y74" s="15"/>
      <c r="Z74" s="15"/>
      <c r="AA74" s="15"/>
      <c r="AB74" s="15"/>
      <c r="AC74" s="15"/>
      <c r="AD74" s="15"/>
    </row>
    <row r="75" spans="1:46">
      <c r="A75" s="2" t="s">
        <v>786</v>
      </c>
      <c r="B75" s="2"/>
      <c r="C75" s="2"/>
      <c r="D75" s="2">
        <v>15</v>
      </c>
      <c r="E75" s="2" t="s">
        <v>528</v>
      </c>
      <c r="F75" s="2"/>
      <c r="G75" s="2"/>
      <c r="H75" s="2"/>
      <c r="I75" s="2"/>
      <c r="J75" s="2"/>
      <c r="K75" s="2"/>
      <c r="L75" s="2"/>
      <c r="M75" s="2"/>
      <c r="N75" s="15"/>
      <c r="O75" s="15"/>
      <c r="P75" s="15"/>
      <c r="Q75" s="15"/>
      <c r="R75" s="15"/>
      <c r="S75" s="15"/>
      <c r="T75" s="15"/>
      <c r="U75" s="15"/>
      <c r="V75" s="15"/>
      <c r="W75" s="15"/>
      <c r="X75" s="15"/>
      <c r="Y75" s="15"/>
      <c r="Z75" s="15"/>
      <c r="AA75" s="15"/>
      <c r="AB75" s="15"/>
      <c r="AC75" s="15"/>
      <c r="AD75" s="15"/>
    </row>
    <row r="76" spans="1:46">
      <c r="A76" s="2" t="s">
        <v>795</v>
      </c>
      <c r="B76" s="2"/>
      <c r="C76" s="2"/>
      <c r="D76" s="36" t="s">
        <v>796</v>
      </c>
      <c r="E76" s="2"/>
      <c r="F76" s="2"/>
      <c r="G76" s="2"/>
      <c r="H76" s="2"/>
      <c r="I76" s="2"/>
      <c r="J76" s="2"/>
      <c r="K76" s="2"/>
      <c r="L76" s="2"/>
      <c r="M76" s="2"/>
      <c r="N76" s="15"/>
      <c r="O76" s="15"/>
      <c r="P76" s="15"/>
      <c r="Q76" s="15"/>
      <c r="R76" s="15"/>
      <c r="S76" s="15"/>
      <c r="T76" s="15"/>
      <c r="U76" s="15"/>
      <c r="V76" s="15"/>
      <c r="W76" s="15"/>
      <c r="X76" s="15"/>
      <c r="Y76" s="15"/>
      <c r="Z76" s="15"/>
      <c r="AA76" s="15"/>
      <c r="AB76" s="15"/>
      <c r="AC76" s="15"/>
      <c r="AD76" s="15"/>
    </row>
    <row r="77" spans="1:46">
      <c r="A77" s="2" t="s">
        <v>797</v>
      </c>
      <c r="B77" s="2"/>
      <c r="C77" s="2"/>
      <c r="D77" s="91">
        <f>E64</f>
        <v>6.7699999999999996E-2</v>
      </c>
      <c r="E77" s="2"/>
      <c r="F77" s="2"/>
      <c r="G77" s="2"/>
      <c r="H77" s="2"/>
      <c r="I77" s="2"/>
      <c r="J77" s="2"/>
      <c r="K77" s="2"/>
      <c r="L77" s="2"/>
      <c r="M77" s="2"/>
      <c r="N77" s="15"/>
      <c r="O77" s="15"/>
      <c r="P77" s="15"/>
      <c r="Q77" s="15"/>
      <c r="R77" s="15"/>
      <c r="S77" s="15"/>
      <c r="T77" s="15"/>
      <c r="U77" s="15"/>
      <c r="V77" s="15"/>
      <c r="W77" s="15"/>
      <c r="X77" s="15"/>
      <c r="Y77" s="15"/>
      <c r="Z77" s="15"/>
      <c r="AA77" s="15"/>
      <c r="AB77" s="15"/>
      <c r="AC77" s="15"/>
      <c r="AD77" s="15"/>
    </row>
    <row r="78" spans="1:46">
      <c r="A78" s="2" t="s">
        <v>798</v>
      </c>
      <c r="B78" s="2"/>
      <c r="C78" s="2"/>
      <c r="D78" s="82">
        <f>E65</f>
        <v>0.89881525095933446</v>
      </c>
      <c r="E78" s="2"/>
      <c r="F78" s="2"/>
      <c r="G78" s="2"/>
      <c r="H78" s="2"/>
      <c r="I78" s="2"/>
      <c r="J78" s="2"/>
      <c r="K78" s="2"/>
      <c r="L78" s="2"/>
      <c r="M78" s="2"/>
      <c r="N78" s="15"/>
      <c r="O78" s="15"/>
      <c r="P78" s="15"/>
      <c r="Q78" s="15"/>
      <c r="R78" s="15"/>
      <c r="S78" s="15"/>
      <c r="T78" s="15"/>
      <c r="U78" s="15"/>
      <c r="V78" s="15"/>
      <c r="W78" s="15"/>
      <c r="X78" s="15"/>
      <c r="Y78" s="15"/>
      <c r="Z78" s="15"/>
      <c r="AA78" s="15"/>
      <c r="AB78" s="15"/>
      <c r="AC78" s="15"/>
      <c r="AD78" s="15"/>
      <c r="AF78" s="16" t="s">
        <v>799</v>
      </c>
      <c r="AI78" s="16" t="s">
        <v>800</v>
      </c>
      <c r="AJ78" s="16" t="s">
        <v>801</v>
      </c>
      <c r="AK78" s="16" t="s">
        <v>802</v>
      </c>
    </row>
    <row r="79" spans="1:46">
      <c r="A79" s="37" t="s">
        <v>772</v>
      </c>
      <c r="B79" s="2"/>
      <c r="C79" s="2"/>
      <c r="D79" s="2"/>
      <c r="E79" s="2"/>
      <c r="F79" s="2"/>
      <c r="G79" s="2"/>
      <c r="H79" s="2"/>
      <c r="I79" s="2"/>
      <c r="J79" s="2"/>
      <c r="K79" s="2"/>
      <c r="L79" s="2"/>
      <c r="M79" s="2"/>
      <c r="N79" s="15"/>
      <c r="O79" s="15"/>
      <c r="P79" s="15"/>
      <c r="Q79" s="15"/>
      <c r="R79" s="15"/>
      <c r="S79" s="15"/>
      <c r="T79" s="15"/>
      <c r="U79" s="15"/>
      <c r="V79" s="15"/>
      <c r="W79" s="15"/>
      <c r="X79" s="15"/>
      <c r="Y79" s="15"/>
      <c r="Z79" s="15"/>
      <c r="AA79" s="15"/>
      <c r="AB79" s="15"/>
      <c r="AC79" s="15"/>
      <c r="AD79" s="15"/>
      <c r="AF79" s="1" t="s">
        <v>592</v>
      </c>
      <c r="AG79" s="1" t="s">
        <v>593</v>
      </c>
      <c r="AI79" s="1">
        <v>75500</v>
      </c>
      <c r="AJ79" s="16">
        <f>(120000*2)/(AI79*9.81)</f>
        <v>0.3240375073414748</v>
      </c>
      <c r="AK79" s="94">
        <f>(AI79*9.81)/'Reference Aircraft'!I8</f>
        <v>6041.2316476345841</v>
      </c>
    </row>
    <row r="80" spans="1:46">
      <c r="A80" s="2" t="s">
        <v>541</v>
      </c>
      <c r="B80" s="2"/>
      <c r="C80" s="2"/>
      <c r="D80" s="2">
        <f>TLAR!B8</f>
        <v>298</v>
      </c>
      <c r="E80" s="2" t="s">
        <v>528</v>
      </c>
      <c r="F80" s="2"/>
      <c r="G80" s="2"/>
      <c r="H80" s="2"/>
      <c r="I80" s="2"/>
      <c r="J80" s="2"/>
      <c r="K80" s="2"/>
      <c r="L80" s="2"/>
      <c r="M80" s="2"/>
      <c r="N80" s="15"/>
      <c r="O80" s="15"/>
      <c r="P80" s="15"/>
      <c r="Q80" s="15"/>
      <c r="R80" s="15"/>
      <c r="S80" s="15"/>
      <c r="T80" s="15"/>
      <c r="U80" s="15"/>
      <c r="V80" s="15"/>
      <c r="W80" s="15"/>
      <c r="X80" s="15"/>
      <c r="Y80" s="15"/>
      <c r="Z80" s="15"/>
      <c r="AA80" s="15"/>
      <c r="AB80" s="15"/>
      <c r="AC80" s="15"/>
      <c r="AD80" s="15"/>
      <c r="AF80" s="1" t="s">
        <v>594</v>
      </c>
      <c r="AG80" s="1" t="s">
        <v>595</v>
      </c>
      <c r="AI80" s="1">
        <v>53524</v>
      </c>
      <c r="AJ80" s="16">
        <f>(84200*2)/(AI80*9.81)</f>
        <v>0.32071887345248379</v>
      </c>
      <c r="AK80" s="94">
        <f>(AI80*9.81)/'Reference Aircraft'!I9</f>
        <v>5645.9187096774203</v>
      </c>
      <c r="AQ80" s="16" t="s">
        <v>803</v>
      </c>
      <c r="AR80" s="16" t="s">
        <v>804</v>
      </c>
      <c r="AS80" s="16" t="s">
        <v>805</v>
      </c>
      <c r="AT80" s="16" t="s">
        <v>806</v>
      </c>
    </row>
    <row r="81" spans="1:46">
      <c r="A81" s="2" t="s">
        <v>773</v>
      </c>
      <c r="B81" s="2"/>
      <c r="C81" s="2"/>
      <c r="D81" s="11">
        <f>AQ81</f>
        <v>95707.117832671327</v>
      </c>
      <c r="E81" s="2" t="s">
        <v>774</v>
      </c>
      <c r="F81" s="2"/>
      <c r="G81" s="2"/>
      <c r="H81" s="2"/>
      <c r="I81" s="2"/>
      <c r="J81" s="2"/>
      <c r="K81" s="2"/>
      <c r="L81" s="2"/>
      <c r="M81" s="2"/>
      <c r="N81" s="15"/>
      <c r="O81" s="15"/>
      <c r="P81" s="15"/>
      <c r="Q81" s="15"/>
      <c r="R81" s="15"/>
      <c r="S81" s="15"/>
      <c r="T81" s="15"/>
      <c r="U81" s="15"/>
      <c r="V81" s="15"/>
      <c r="W81" s="15"/>
      <c r="X81" s="15"/>
      <c r="Y81" s="15"/>
      <c r="Z81" s="15"/>
      <c r="AA81" s="15"/>
      <c r="AB81" s="15"/>
      <c r="AC81" s="15"/>
      <c r="AD81" s="15"/>
      <c r="AF81" s="1" t="s">
        <v>596</v>
      </c>
      <c r="AG81" s="1" t="s">
        <v>597</v>
      </c>
      <c r="AI81" s="1">
        <v>63800</v>
      </c>
      <c r="AJ81" s="16">
        <f>(93000*2)/(AI81*9.81)</f>
        <v>0.29718251799871542</v>
      </c>
      <c r="AK81" s="94">
        <f>(AI81*9.81)/'Reference Aircraft'!I10</f>
        <v>5573.2680320569907</v>
      </c>
      <c r="AQ81" s="16">
        <f>101325*POWER((AR81)/(AT81),-9.81/(-0.0065*287))</f>
        <v>95707.117832671327</v>
      </c>
      <c r="AR81" s="16">
        <v>298</v>
      </c>
      <c r="AS81" s="16">
        <f>AQ81/(287*AR81)</f>
        <v>1.1190412018879794</v>
      </c>
      <c r="AT81" s="16">
        <f>AR81+6.5*0.5</f>
        <v>301.25</v>
      </c>
    </row>
    <row r="82" spans="1:46" ht="17.25">
      <c r="A82" s="2" t="s">
        <v>775</v>
      </c>
      <c r="B82" s="2"/>
      <c r="C82" s="2"/>
      <c r="D82" s="83">
        <f>AS81</f>
        <v>1.1190412018879794</v>
      </c>
      <c r="E82" s="2" t="s">
        <v>396</v>
      </c>
      <c r="F82" s="2"/>
      <c r="G82" s="2"/>
      <c r="H82" s="2"/>
      <c r="I82" s="2"/>
      <c r="J82" s="2"/>
      <c r="K82" s="2"/>
      <c r="L82" s="2"/>
      <c r="M82" s="2"/>
      <c r="N82" s="15"/>
      <c r="O82" s="15"/>
      <c r="P82" s="15"/>
      <c r="Q82" s="15"/>
      <c r="R82" s="15"/>
      <c r="S82" s="15"/>
      <c r="T82" s="15"/>
      <c r="U82" s="15"/>
      <c r="V82" s="15"/>
      <c r="W82" s="15"/>
      <c r="X82" s="15"/>
      <c r="Y82" s="15"/>
      <c r="Z82" s="15"/>
      <c r="AA82" s="15"/>
      <c r="AB82" s="15"/>
      <c r="AC82" s="15"/>
      <c r="AD82" s="15"/>
      <c r="AF82" s="1" t="s">
        <v>598</v>
      </c>
      <c r="AG82" s="1" t="s">
        <v>599</v>
      </c>
      <c r="AI82" s="1">
        <v>141521</v>
      </c>
      <c r="AJ82" s="16">
        <f>(93400*4)/(AI82*9.81)</f>
        <v>0.26910202849987841</v>
      </c>
      <c r="AK82" s="94">
        <f>(AI82*9.81)/'Reference Aircraft'!I11</f>
        <v>5242.9041163141992</v>
      </c>
    </row>
    <row r="83" spans="1:46" ht="18">
      <c r="A83" s="2" t="s">
        <v>807</v>
      </c>
      <c r="B83" s="2"/>
      <c r="C83" s="2"/>
      <c r="D83" s="83">
        <f>(1.13^(-2))*D17</f>
        <v>1.5662933667475922</v>
      </c>
      <c r="E83" s="2"/>
      <c r="F83" s="2"/>
      <c r="G83" s="2"/>
      <c r="H83" s="2"/>
      <c r="I83" s="2"/>
      <c r="J83" s="2"/>
      <c r="K83" s="2"/>
      <c r="L83" s="2"/>
      <c r="M83" s="2"/>
      <c r="N83" s="15"/>
      <c r="O83" s="15"/>
      <c r="P83" s="15"/>
      <c r="Q83" s="15"/>
      <c r="R83" s="15"/>
      <c r="S83" s="15"/>
      <c r="T83" s="15"/>
      <c r="U83" s="15"/>
      <c r="V83" s="15"/>
      <c r="W83" s="15"/>
      <c r="X83" s="15"/>
      <c r="Y83" s="15"/>
      <c r="Z83" s="15"/>
      <c r="AA83" s="15"/>
      <c r="AB83" s="15"/>
      <c r="AC83" s="15"/>
      <c r="AD83" s="15"/>
      <c r="AF83" s="1" t="s">
        <v>600</v>
      </c>
      <c r="AG83" s="1" t="s">
        <v>601</v>
      </c>
      <c r="AI83" s="1">
        <v>102000</v>
      </c>
      <c r="AJ83" s="16">
        <f>(103000*3)/(AI83*9.81)</f>
        <v>0.30880853870600228</v>
      </c>
      <c r="AK83" s="94">
        <f>(AI83*9.81)/'Reference Aircraft'!I12</f>
        <v>4953.5643564356433</v>
      </c>
    </row>
    <row r="84" spans="1:46">
      <c r="A84" s="37" t="s">
        <v>808</v>
      </c>
      <c r="B84" s="2"/>
      <c r="C84" s="2"/>
      <c r="D84" s="2"/>
      <c r="E84" s="2"/>
      <c r="F84" s="2"/>
      <c r="G84" s="2"/>
      <c r="H84" s="2"/>
      <c r="I84" s="2"/>
      <c r="J84" s="2"/>
      <c r="K84" s="2"/>
      <c r="L84" s="2"/>
      <c r="M84" s="2"/>
      <c r="N84" s="15"/>
      <c r="O84" s="15"/>
      <c r="P84" s="15"/>
      <c r="Q84" s="15"/>
      <c r="R84" s="15"/>
      <c r="S84" s="15"/>
      <c r="T84" s="15"/>
      <c r="U84" s="15"/>
      <c r="V84" s="15"/>
      <c r="W84" s="15"/>
      <c r="X84" s="15"/>
      <c r="Y84" s="15"/>
      <c r="Z84" s="15"/>
      <c r="AA84" s="15"/>
      <c r="AB84" s="15"/>
      <c r="AC84" s="15"/>
      <c r="AD84" s="15"/>
    </row>
    <row r="85" spans="1:46">
      <c r="A85" s="2"/>
      <c r="B85" s="2"/>
      <c r="C85" s="2"/>
      <c r="D85" s="2"/>
      <c r="E85" s="2"/>
      <c r="F85" s="2"/>
      <c r="G85" s="2"/>
      <c r="H85" s="2"/>
      <c r="I85" s="2"/>
      <c r="J85" s="2"/>
      <c r="K85" s="2"/>
      <c r="L85" s="2"/>
      <c r="M85" s="2"/>
      <c r="N85" s="15"/>
      <c r="O85" s="15"/>
      <c r="P85" s="15"/>
      <c r="Q85" s="15"/>
      <c r="R85" s="15"/>
      <c r="S85" s="15"/>
      <c r="T85" s="15"/>
      <c r="U85" s="15"/>
      <c r="V85" s="15"/>
      <c r="W85" s="15"/>
      <c r="X85" s="15"/>
      <c r="Y85" s="15"/>
      <c r="Z85" s="15"/>
      <c r="AA85" s="15"/>
      <c r="AB85" s="15"/>
      <c r="AC85" s="15"/>
      <c r="AD85" s="15"/>
    </row>
    <row r="86" spans="1:46">
      <c r="A86" s="7" t="s">
        <v>578</v>
      </c>
      <c r="B86" s="2"/>
      <c r="C86" s="2"/>
      <c r="D86" s="2"/>
      <c r="E86" s="7" t="s">
        <v>1</v>
      </c>
      <c r="F86" s="2"/>
      <c r="G86" s="2"/>
      <c r="H86" s="2"/>
      <c r="I86" s="2"/>
      <c r="J86" s="2"/>
      <c r="K86" s="2"/>
      <c r="L86" s="2"/>
      <c r="M86" s="2"/>
      <c r="N86" s="15"/>
      <c r="O86" s="15"/>
      <c r="P86" s="15"/>
      <c r="Q86" s="15"/>
      <c r="R86" s="15"/>
      <c r="S86" s="15"/>
      <c r="T86" s="15"/>
      <c r="U86" s="15"/>
      <c r="V86" s="15"/>
      <c r="W86" s="15"/>
      <c r="X86" s="15"/>
      <c r="Y86" s="15"/>
      <c r="Z86" s="15"/>
      <c r="AA86" s="15"/>
      <c r="AB86" s="15"/>
      <c r="AC86" s="15"/>
      <c r="AD86" s="15"/>
    </row>
    <row r="87" spans="1:46">
      <c r="A87" s="7" t="s">
        <v>809</v>
      </c>
      <c r="B87" s="2"/>
      <c r="C87" s="2"/>
      <c r="D87" s="2"/>
      <c r="E87" s="2"/>
      <c r="F87" s="2"/>
      <c r="G87" s="2"/>
      <c r="H87" s="2"/>
      <c r="I87" s="2"/>
      <c r="J87" s="2"/>
      <c r="K87" s="2"/>
      <c r="L87" s="2"/>
      <c r="M87" s="2"/>
      <c r="N87" s="15"/>
      <c r="O87" s="15"/>
      <c r="P87" s="15"/>
      <c r="Q87" s="15"/>
      <c r="R87" s="15"/>
      <c r="S87" s="15"/>
      <c r="T87" s="15"/>
      <c r="U87" s="15"/>
      <c r="V87" s="15"/>
      <c r="W87" s="15"/>
      <c r="X87" s="15"/>
      <c r="Y87" s="15"/>
      <c r="Z87" s="15"/>
      <c r="AA87" s="15"/>
      <c r="AB87" s="15"/>
      <c r="AC87" s="15"/>
      <c r="AD87" s="15"/>
    </row>
    <row r="88" spans="1:46" ht="18.75">
      <c r="A88" s="2" t="s">
        <v>810</v>
      </c>
      <c r="B88" s="2"/>
      <c r="C88" s="2"/>
      <c r="D88" s="1">
        <v>5370</v>
      </c>
      <c r="E88" s="2" t="s">
        <v>811</v>
      </c>
      <c r="F88" s="2"/>
      <c r="G88" s="2"/>
      <c r="H88" s="2"/>
      <c r="I88" s="2"/>
      <c r="J88" s="2"/>
      <c r="K88" s="2"/>
      <c r="L88" s="2"/>
      <c r="M88" s="2"/>
      <c r="N88" s="15"/>
      <c r="O88" s="15"/>
      <c r="P88" s="15"/>
      <c r="Q88" s="15"/>
      <c r="R88" s="15"/>
      <c r="S88" s="15"/>
      <c r="T88" s="15"/>
      <c r="U88" s="15"/>
      <c r="V88" s="15"/>
      <c r="W88" s="15"/>
      <c r="X88" s="15"/>
      <c r="Y88" s="15"/>
      <c r="Z88" s="15"/>
      <c r="AA88" s="15"/>
      <c r="AB88" s="15"/>
      <c r="AC88" s="15"/>
      <c r="AD88" s="15"/>
    </row>
    <row r="89" spans="1:46">
      <c r="A89" s="2" t="str">
        <f>IF('Configuration Selection'!$B$10="propeller","W_TO/P_TO","T_TO/W_TO")</f>
        <v>T_TO/W_TO</v>
      </c>
      <c r="B89" s="2"/>
      <c r="C89" s="2"/>
      <c r="D89" s="1">
        <v>0.28999999999999998</v>
      </c>
      <c r="E89" s="2" t="str">
        <f>IF('Configuration Selection'!$B$10="propeller","[N/W]","[N/N]")</f>
        <v>[N/N]</v>
      </c>
      <c r="F89" s="2"/>
      <c r="G89" s="2"/>
      <c r="H89" s="2"/>
      <c r="I89" s="2"/>
      <c r="J89" s="2"/>
      <c r="K89" s="2"/>
      <c r="L89" s="2"/>
      <c r="M89" s="2"/>
      <c r="N89" s="15"/>
      <c r="O89" s="15"/>
      <c r="P89" s="15"/>
      <c r="Q89" s="15"/>
      <c r="R89" s="15"/>
      <c r="S89" s="15"/>
      <c r="T89" s="15"/>
      <c r="U89" s="15"/>
      <c r="V89" s="15"/>
      <c r="W89" s="15"/>
      <c r="X89" s="15"/>
      <c r="Y89" s="15"/>
      <c r="Z89" s="15"/>
      <c r="AA89" s="15"/>
      <c r="AB89" s="15"/>
      <c r="AC89" s="15"/>
      <c r="AD89" s="15"/>
      <c r="AJ89" s="16" t="s">
        <v>812</v>
      </c>
    </row>
    <row r="90" spans="1:46">
      <c r="A90" s="37" t="s">
        <v>813</v>
      </c>
      <c r="B90" s="2"/>
      <c r="C90" s="2"/>
      <c r="D90" s="2"/>
      <c r="E90" s="2"/>
      <c r="F90" s="2"/>
      <c r="G90" s="2"/>
      <c r="H90" s="2"/>
      <c r="I90" s="2"/>
      <c r="J90" s="2"/>
      <c r="K90" s="2"/>
      <c r="L90" s="2"/>
      <c r="M90" s="2"/>
      <c r="N90" s="15"/>
      <c r="O90" s="15"/>
      <c r="P90" s="15"/>
      <c r="Q90" s="15"/>
      <c r="R90" s="15"/>
      <c r="S90" s="15"/>
      <c r="T90" s="15"/>
      <c r="U90" s="15"/>
      <c r="V90" s="15"/>
      <c r="W90" s="15"/>
      <c r="X90" s="15"/>
      <c r="Y90" s="15"/>
      <c r="Z90" s="15"/>
      <c r="AA90" s="15"/>
      <c r="AB90" s="15"/>
      <c r="AC90" s="15"/>
      <c r="AD90" s="15"/>
    </row>
    <row r="91" spans="1:46">
      <c r="A91" s="7" t="s">
        <v>814</v>
      </c>
      <c r="B91" s="2"/>
      <c r="C91" s="2"/>
      <c r="D91" s="2"/>
      <c r="E91" s="7" t="s">
        <v>1</v>
      </c>
      <c r="F91" s="2"/>
      <c r="G91" s="2"/>
      <c r="H91" s="2"/>
      <c r="I91" s="2"/>
      <c r="J91" s="2"/>
      <c r="K91" s="2"/>
      <c r="L91" s="2"/>
      <c r="M91" s="2"/>
      <c r="N91" s="15"/>
      <c r="O91" s="15"/>
      <c r="P91" s="15"/>
      <c r="Q91" s="15"/>
      <c r="R91" s="15"/>
      <c r="S91" s="15"/>
      <c r="T91" s="15"/>
      <c r="U91" s="15"/>
      <c r="V91" s="15"/>
      <c r="W91" s="15"/>
      <c r="X91" s="15"/>
      <c r="Y91" s="15"/>
      <c r="Z91" s="15"/>
      <c r="AA91" s="15"/>
      <c r="AB91" s="15"/>
      <c r="AC91" s="15"/>
      <c r="AD91" s="15"/>
    </row>
    <row r="92" spans="1:46" ht="18.75">
      <c r="A92" s="2" t="s">
        <v>815</v>
      </c>
      <c r="B92" s="2"/>
      <c r="C92" s="2"/>
      <c r="D92" s="84">
        <f>'Mass Estimation'!B15*9.81/D88</f>
        <v>76.068603351955318</v>
      </c>
      <c r="E92" s="2" t="s">
        <v>652</v>
      </c>
      <c r="F92" s="2"/>
      <c r="G92" s="2"/>
      <c r="H92" s="2"/>
      <c r="I92" s="2"/>
      <c r="J92" s="2"/>
      <c r="K92" s="2"/>
      <c r="L92" s="2"/>
      <c r="M92" s="2"/>
      <c r="N92" s="15"/>
      <c r="O92" s="15"/>
      <c r="P92" s="15"/>
      <c r="Q92" s="15"/>
      <c r="R92" s="15"/>
      <c r="S92" s="15"/>
      <c r="T92" s="15"/>
      <c r="U92" s="15"/>
      <c r="V92" s="15"/>
      <c r="W92" s="15"/>
      <c r="X92" s="15"/>
      <c r="Y92" s="15"/>
      <c r="Z92" s="15"/>
      <c r="AA92" s="15"/>
      <c r="AB92" s="15"/>
      <c r="AC92" s="15"/>
      <c r="AD92" s="15"/>
    </row>
    <row r="93" spans="1:46" ht="18">
      <c r="A93" s="2" t="s">
        <v>816</v>
      </c>
      <c r="B93" s="2"/>
      <c r="C93" s="2"/>
      <c r="D93" s="84">
        <f>SQRT(D92*'Drag Polar'!D6)</f>
        <v>25.945618055812869</v>
      </c>
      <c r="E93" s="2" t="s">
        <v>5</v>
      </c>
      <c r="F93" s="2"/>
      <c r="G93" s="2"/>
      <c r="H93" s="2"/>
      <c r="I93" s="2"/>
      <c r="J93" s="2"/>
      <c r="K93" s="2"/>
      <c r="L93" s="2"/>
      <c r="M93" s="2"/>
      <c r="N93" s="15"/>
      <c r="O93" s="15"/>
      <c r="P93" s="15"/>
      <c r="Q93" s="15"/>
      <c r="R93" s="15"/>
      <c r="S93" s="15"/>
      <c r="T93" s="15"/>
      <c r="U93" s="15"/>
      <c r="V93" s="15"/>
      <c r="W93" s="15"/>
      <c r="X93" s="15"/>
      <c r="Y93" s="15"/>
      <c r="Z93" s="15"/>
      <c r="AA93" s="15"/>
      <c r="AB93" s="15"/>
      <c r="AC93" s="15"/>
      <c r="AD93" s="15"/>
      <c r="AF93" s="16" t="s">
        <v>817</v>
      </c>
    </row>
    <row r="94" spans="1:46">
      <c r="A94" s="2" t="str">
        <f>IF('Configuration Selection'!$B$10="propeller","P_TO","T_TO")</f>
        <v>T_TO</v>
      </c>
      <c r="B94" s="2"/>
      <c r="C94" s="2"/>
      <c r="D94" s="84">
        <f>'Mass Estimation'!B15*9.81*D89/1000</f>
        <v>118.461636</v>
      </c>
      <c r="E94" s="2" t="str">
        <f>IF('Configuration Selection'!$B$10="propeller","kW","kN")</f>
        <v>kN</v>
      </c>
      <c r="F94" s="2"/>
      <c r="G94" s="2"/>
      <c r="H94" s="2"/>
      <c r="I94" s="2"/>
      <c r="J94" s="2"/>
      <c r="K94" s="2"/>
      <c r="L94" s="2"/>
      <c r="M94" s="2"/>
      <c r="N94" s="15"/>
      <c r="O94" s="15"/>
      <c r="P94" s="15"/>
      <c r="Q94" s="15"/>
      <c r="R94" s="15"/>
      <c r="S94" s="15"/>
      <c r="T94" s="15"/>
      <c r="U94" s="15"/>
      <c r="V94" s="15"/>
      <c r="W94" s="15"/>
      <c r="X94" s="15"/>
      <c r="Y94" s="15"/>
      <c r="Z94" s="15"/>
      <c r="AA94" s="15"/>
      <c r="AB94" s="15"/>
      <c r="AC94" s="15"/>
      <c r="AD94" s="15"/>
      <c r="AG94" s="16" t="s">
        <v>818</v>
      </c>
      <c r="AH94" s="16" t="s">
        <v>819</v>
      </c>
      <c r="AI94" s="16" t="s">
        <v>820</v>
      </c>
      <c r="AJ94" s="16" t="s">
        <v>821</v>
      </c>
      <c r="AK94" s="16" t="s">
        <v>822</v>
      </c>
      <c r="AL94" s="16" t="s">
        <v>823</v>
      </c>
      <c r="AM94" s="16" t="s">
        <v>824</v>
      </c>
      <c r="AN94" s="16" t="s">
        <v>825</v>
      </c>
    </row>
    <row r="95" spans="1:46">
      <c r="A95" s="37" t="s">
        <v>826</v>
      </c>
      <c r="B95" s="2"/>
      <c r="C95" s="2"/>
      <c r="D95" s="2"/>
      <c r="E95" s="2"/>
      <c r="F95" s="2"/>
      <c r="G95" s="2"/>
      <c r="H95" s="2"/>
      <c r="I95" s="2"/>
      <c r="J95" s="2"/>
      <c r="K95" s="2"/>
      <c r="L95" s="2"/>
      <c r="M95" s="2"/>
      <c r="N95" s="15"/>
      <c r="O95" s="15"/>
      <c r="P95" s="15"/>
      <c r="Q95" s="15"/>
      <c r="R95" s="15"/>
      <c r="S95" s="15"/>
      <c r="T95" s="15"/>
      <c r="U95" s="15"/>
      <c r="V95" s="15"/>
      <c r="W95" s="15"/>
      <c r="X95" s="15"/>
      <c r="Y95" s="15"/>
      <c r="Z95" s="15"/>
      <c r="AA95" s="15"/>
      <c r="AB95" s="15"/>
      <c r="AC95" s="15"/>
      <c r="AD95" s="15"/>
      <c r="AG95" s="16">
        <v>0.77</v>
      </c>
      <c r="AH95" s="16">
        <v>223.15</v>
      </c>
      <c r="AI95" s="16">
        <f>26200</f>
        <v>26200</v>
      </c>
      <c r="AQ95" s="16">
        <f>0.05*(1+0.1*((1.225*342)/('Propultion System 2'!D23))+((3*'Propultion System 2'!D18)/('Propultion System 2'!D18+1)))</f>
        <v>0.18831689895337739</v>
      </c>
    </row>
    <row r="96" spans="1:46">
      <c r="A96" s="7" t="s">
        <v>827</v>
      </c>
      <c r="B96" s="2"/>
      <c r="C96" s="2"/>
      <c r="D96" s="2"/>
      <c r="E96" s="2"/>
      <c r="F96" s="2"/>
      <c r="G96" s="2"/>
      <c r="H96" s="2"/>
      <c r="I96" s="2"/>
      <c r="J96" s="2"/>
      <c r="K96" s="2"/>
      <c r="L96" s="2"/>
      <c r="M96" s="2"/>
      <c r="N96" s="15"/>
      <c r="O96" s="15"/>
      <c r="P96" s="15"/>
      <c r="Q96" s="15"/>
      <c r="R96" s="15"/>
      <c r="S96" s="15"/>
      <c r="T96" s="15"/>
      <c r="U96" s="15"/>
      <c r="V96" s="15"/>
      <c r="W96" s="15"/>
      <c r="X96" s="15"/>
      <c r="Y96" s="15"/>
      <c r="Z96" s="15"/>
      <c r="AA96" s="15"/>
      <c r="AB96" s="15"/>
      <c r="AC96" s="15"/>
      <c r="AD96" s="15"/>
      <c r="AJ96" s="16">
        <f>AI95*POWER(1+0.2*POWER(AG95,2),3.5)</f>
        <v>38782.514735305471</v>
      </c>
      <c r="AK96" s="16">
        <f>AH95*(1+(0.4/2)*POWER(AG95,2))</f>
        <v>249.61112699999998</v>
      </c>
      <c r="AL96" s="16">
        <f>AJ96/101325</f>
        <v>0.38275366134029581</v>
      </c>
      <c r="AM96" s="16">
        <f>AK96/288.15</f>
        <v>0.86625412805830293</v>
      </c>
      <c r="AN96" s="16">
        <f>AL96*(1-(0.43+0.014*'Drag Polar'!D31)*SQRT(AG95))</f>
        <v>0.21482117397004374</v>
      </c>
      <c r="AP96" s="16">
        <f>((2*D88)/(1.4*AI95*AG95^2))</f>
        <v>0.49384823280502299</v>
      </c>
    </row>
    <row r="97" spans="1:77">
      <c r="A97" s="37" t="s">
        <v>828</v>
      </c>
      <c r="B97" s="48">
        <v>1</v>
      </c>
      <c r="C97" s="2"/>
      <c r="D97" s="2"/>
      <c r="E97" s="2"/>
      <c r="F97" s="2"/>
      <c r="G97" s="2"/>
      <c r="H97" s="2"/>
      <c r="I97" s="2"/>
      <c r="J97" s="2"/>
      <c r="K97" s="2"/>
      <c r="L97" s="2"/>
      <c r="M97" s="2"/>
      <c r="N97" s="15"/>
      <c r="O97" s="15"/>
      <c r="P97" s="15"/>
      <c r="Q97" s="15"/>
      <c r="R97" s="15"/>
      <c r="S97" s="15"/>
      <c r="T97" s="15"/>
      <c r="U97" s="15"/>
      <c r="V97" s="15"/>
      <c r="W97" s="15"/>
      <c r="X97" s="15"/>
      <c r="Y97" s="15"/>
      <c r="Z97" s="15"/>
      <c r="AA97" s="15"/>
      <c r="AB97" s="15"/>
      <c r="AC97" s="15"/>
      <c r="AD97" s="15"/>
      <c r="BS97" s="16">
        <f>0.3345*1.225</f>
        <v>0.40976250000000003</v>
      </c>
      <c r="BU97" s="16">
        <f>((BU100)/(101325))*(1-(0.43+0.014*'Drag Polar'!$D$31)*SQRT(0.77))</f>
        <v>0.21768758923044143</v>
      </c>
    </row>
    <row r="98" spans="1:77" ht="110.25" customHeight="1">
      <c r="A98" s="15"/>
      <c r="B98" s="44" t="s">
        <v>829</v>
      </c>
      <c r="C98" s="45" t="s">
        <v>830</v>
      </c>
      <c r="D98" s="46" t="s">
        <v>550</v>
      </c>
      <c r="E98" s="47" t="s">
        <v>831</v>
      </c>
      <c r="F98" s="98" t="s">
        <v>832</v>
      </c>
      <c r="G98" s="99" t="s">
        <v>833</v>
      </c>
      <c r="H98" s="100" t="s">
        <v>834</v>
      </c>
      <c r="I98" s="101" t="s">
        <v>835</v>
      </c>
      <c r="J98" s="102" t="s">
        <v>836</v>
      </c>
      <c r="K98" s="103" t="s">
        <v>837</v>
      </c>
      <c r="L98" s="104" t="s">
        <v>793</v>
      </c>
      <c r="M98" s="15"/>
      <c r="N98" s="15"/>
      <c r="O98" s="15"/>
      <c r="P98" s="15"/>
      <c r="Q98" s="15"/>
      <c r="R98" s="15"/>
      <c r="S98" s="15"/>
      <c r="T98" s="15"/>
      <c r="U98" s="15"/>
      <c r="V98" s="15"/>
      <c r="W98" s="15"/>
      <c r="X98" s="15"/>
      <c r="Y98" s="15"/>
      <c r="Z98" s="15"/>
      <c r="AA98" s="15"/>
      <c r="AB98" s="15"/>
      <c r="AC98" s="15"/>
      <c r="AD98" s="15"/>
      <c r="AI98" s="93" t="s">
        <v>838</v>
      </c>
      <c r="AJ98" s="93" t="s">
        <v>839</v>
      </c>
      <c r="AK98" s="92" t="s">
        <v>821</v>
      </c>
      <c r="AL98" s="92" t="s">
        <v>840</v>
      </c>
      <c r="AN98" s="92"/>
      <c r="AO98" s="93" t="s">
        <v>841</v>
      </c>
      <c r="AP98" s="93" t="s">
        <v>839</v>
      </c>
      <c r="AQ98" s="92" t="s">
        <v>821</v>
      </c>
      <c r="AR98" s="92" t="s">
        <v>840</v>
      </c>
      <c r="AS98" s="92"/>
      <c r="AT98" s="92"/>
      <c r="AU98" s="93" t="s">
        <v>841</v>
      </c>
      <c r="AV98" s="93" t="s">
        <v>839</v>
      </c>
      <c r="AW98" s="92" t="s">
        <v>821</v>
      </c>
      <c r="AX98" s="92" t="s">
        <v>840</v>
      </c>
      <c r="AY98" s="92"/>
      <c r="AZ98" s="92"/>
      <c r="BA98" s="93" t="s">
        <v>841</v>
      </c>
      <c r="BB98" s="93" t="s">
        <v>839</v>
      </c>
      <c r="BC98" s="92" t="s">
        <v>821</v>
      </c>
      <c r="BD98" s="92" t="s">
        <v>840</v>
      </c>
      <c r="BE98" s="92"/>
      <c r="BF98" s="92"/>
      <c r="BG98" s="93" t="s">
        <v>841</v>
      </c>
      <c r="BH98" s="93" t="s">
        <v>839</v>
      </c>
      <c r="BI98" s="92" t="s">
        <v>821</v>
      </c>
      <c r="BJ98" s="92" t="s">
        <v>840</v>
      </c>
      <c r="BK98" s="92"/>
      <c r="BL98" s="92"/>
      <c r="BM98" s="93" t="s">
        <v>841</v>
      </c>
      <c r="BN98" s="93" t="s">
        <v>839</v>
      </c>
      <c r="BO98" s="92" t="s">
        <v>821</v>
      </c>
      <c r="BP98" s="92" t="s">
        <v>840</v>
      </c>
      <c r="BQ98" s="92"/>
      <c r="BR98" s="92"/>
      <c r="BS98" s="93" t="s">
        <v>842</v>
      </c>
      <c r="BT98" s="93" t="s">
        <v>839</v>
      </c>
      <c r="BU98" s="92" t="s">
        <v>821</v>
      </c>
      <c r="BV98" s="92" t="s">
        <v>840</v>
      </c>
      <c r="BW98" s="92"/>
      <c r="BX98" s="92"/>
      <c r="BY98" s="92"/>
    </row>
    <row r="99" spans="1:77" ht="17.25">
      <c r="A99" s="15"/>
      <c r="B99" s="17" t="s">
        <v>843</v>
      </c>
      <c r="C99" s="17" t="s">
        <v>843</v>
      </c>
      <c r="D99" s="17" t="s">
        <v>844</v>
      </c>
      <c r="E99" s="17" t="str">
        <f>IF('Configuration Selection'!$B$10="propeller","W/P - [N/W]","T/W - [N/N]")</f>
        <v>T/W - [N/N]</v>
      </c>
      <c r="F99" s="17" t="str">
        <f>IF('Configuration Selection'!$B$10="propeller","W/P - [N/W]","T/W - [N/N]")</f>
        <v>T/W - [N/N]</v>
      </c>
      <c r="G99" s="17" t="str">
        <f>IF('Configuration Selection'!$B$10="propeller","W/P - [N/W]","T/W - [N/N]")</f>
        <v>T/W - [N/N]</v>
      </c>
      <c r="H99" s="17" t="str">
        <f>IF('Configuration Selection'!$B$10="propeller","W/P - [N/W]","T/W - [N/N]")</f>
        <v>T/W - [N/N]</v>
      </c>
      <c r="I99" s="17" t="str">
        <f>IF('Configuration Selection'!$B$10="propeller","W/P - [N/W]","T/W - [N/N]")</f>
        <v>T/W - [N/N]</v>
      </c>
      <c r="J99" s="17" t="str">
        <f>IF('Configuration Selection'!$B$10="propeller","W/P - [N/W]","T/W - [N/N]")</f>
        <v>T/W - [N/N]</v>
      </c>
      <c r="K99" s="17" t="str">
        <f>IF('Configuration Selection'!$B$10="propeller","W/P - [N/W]","T/W - [N/N]")</f>
        <v>T/W - [N/N]</v>
      </c>
      <c r="L99" s="17" t="str">
        <f>IF('Configuration Selection'!$B$10="propeller","W/P - [N/W]","T/W - [N/N]")</f>
        <v>T/W - [N/N]</v>
      </c>
      <c r="M99" s="15"/>
      <c r="N99" s="15"/>
      <c r="O99" s="15"/>
      <c r="P99" s="15"/>
      <c r="Q99" s="15"/>
      <c r="R99" s="15"/>
      <c r="S99" s="15"/>
      <c r="T99" s="15"/>
      <c r="U99" s="15"/>
      <c r="V99" s="15"/>
      <c r="W99" s="15"/>
      <c r="X99" s="15"/>
      <c r="Y99" s="15"/>
      <c r="Z99" s="15"/>
      <c r="AA99" s="15"/>
      <c r="AB99" s="15"/>
      <c r="AC99" s="15"/>
      <c r="AD99" s="15"/>
      <c r="AI99" s="92" t="s">
        <v>329</v>
      </c>
      <c r="AJ99" s="92" t="s">
        <v>331</v>
      </c>
      <c r="AK99" s="92" t="s">
        <v>331</v>
      </c>
      <c r="AL99" s="92"/>
      <c r="AN99" s="92"/>
      <c r="AO99" s="92" t="s">
        <v>329</v>
      </c>
      <c r="AP99" s="92" t="s">
        <v>331</v>
      </c>
      <c r="AQ99" s="92" t="s">
        <v>331</v>
      </c>
      <c r="AR99" s="92"/>
      <c r="AS99" s="92"/>
      <c r="AT99" s="92"/>
      <c r="AU99" s="92" t="s">
        <v>329</v>
      </c>
      <c r="AV99" s="92" t="s">
        <v>331</v>
      </c>
      <c r="AW99" s="92" t="s">
        <v>331</v>
      </c>
      <c r="AX99" s="92"/>
      <c r="AY99" s="92"/>
      <c r="AZ99" s="92"/>
      <c r="BA99" s="92" t="s">
        <v>329</v>
      </c>
      <c r="BB99" s="92" t="s">
        <v>331</v>
      </c>
      <c r="BC99" s="92" t="s">
        <v>331</v>
      </c>
      <c r="BD99" s="92"/>
      <c r="BE99" s="92"/>
      <c r="BF99" s="92"/>
      <c r="BG99" s="92" t="s">
        <v>329</v>
      </c>
      <c r="BH99" s="92" t="s">
        <v>331</v>
      </c>
      <c r="BI99" s="92" t="s">
        <v>331</v>
      </c>
      <c r="BJ99" s="92"/>
      <c r="BK99" s="92"/>
      <c r="BL99" s="92"/>
      <c r="BM99" s="92" t="s">
        <v>329</v>
      </c>
      <c r="BN99" s="92" t="s">
        <v>331</v>
      </c>
      <c r="BO99" s="92" t="s">
        <v>331</v>
      </c>
      <c r="BP99" s="92"/>
      <c r="BQ99" s="92"/>
      <c r="BR99" s="92"/>
      <c r="BS99" s="92" t="s">
        <v>329</v>
      </c>
      <c r="BT99" s="92" t="s">
        <v>331</v>
      </c>
      <c r="BU99" s="92" t="s">
        <v>331</v>
      </c>
      <c r="BV99" s="92"/>
      <c r="BW99" s="92"/>
      <c r="BX99" s="92"/>
      <c r="BY99" s="92"/>
    </row>
    <row r="100" spans="1:77">
      <c r="A100" s="15"/>
      <c r="B100" s="88">
        <v>0</v>
      </c>
      <c r="C100" s="89">
        <f>(1.225*$D$21^2*$D$16)/($D$24*2*1.23^2)</f>
        <v>5379.4075927863296</v>
      </c>
      <c r="D100" s="89">
        <f>($D$30*$D$34*$D$16)/(2*$D$24*0.45)</f>
        <v>5788.633461047255</v>
      </c>
      <c r="E100" s="88"/>
      <c r="F100" s="88"/>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I100" s="95">
        <f>SQRT((B100*2)/($D$55*$D$54))</f>
        <v>0</v>
      </c>
      <c r="AJ100" s="92">
        <f>AI100/SQRT(($D$52*1.4*8.3145)/(0.0289645))</f>
        <v>0</v>
      </c>
      <c r="AK100" s="92">
        <f>$D$53*(1+0.5*(1.4-1)*AJ100^2)^3.5</f>
        <v>39300</v>
      </c>
      <c r="AL100" s="96">
        <f>((AK100)/(101325))*(1-(0.43+0.014*'Drag Polar'!$D$31)*SQRT(AJ100))</f>
        <v>0.38786084381939306</v>
      </c>
      <c r="AN100" s="92"/>
      <c r="AO100" s="95">
        <f>SQRT((B100*2)/($D$67*$D$68))</f>
        <v>0</v>
      </c>
      <c r="AP100" s="96">
        <f>AO100/SQRT(($D$66*1.4*8.3145)/(0.0289645))</f>
        <v>0</v>
      </c>
      <c r="AQ100" s="92">
        <f>101325*(1+0.5*(1.4-1)*AP100^2)^3.5</f>
        <v>101325</v>
      </c>
      <c r="AR100" s="96">
        <f>((AQ100)/(101325))*(1-(0.43+0.014*'Drag Polar'!$D$31)*SQRT(AP100))</f>
        <v>1</v>
      </c>
      <c r="AS100" s="92"/>
      <c r="AT100" s="92"/>
      <c r="AU100" s="95">
        <f>SQRT((B100*2)/($E$67*$E$68))</f>
        <v>0</v>
      </c>
      <c r="AV100" s="96">
        <f>AU100/SQRT(($D$66*1.4*8.3145)/(0.0289645))</f>
        <v>0</v>
      </c>
      <c r="AW100" s="92">
        <f>101325*(1+0.5*(1.4-1)*AV100^2)^3.5</f>
        <v>101325</v>
      </c>
      <c r="AX100" s="96">
        <f>((AW100)/(101325))*(1-(0.43+0.014*'Drag Polar'!$D$31)*SQRT(AV100))</f>
        <v>1</v>
      </c>
      <c r="AY100" s="92"/>
      <c r="AZ100" s="92"/>
      <c r="BA100" s="95">
        <f>SQRT((B100*2)/($F$67*$F$68))</f>
        <v>0</v>
      </c>
      <c r="BB100" s="96">
        <f>BA100/SQRT(($D$66*1.4*8.3145)/(0.0289645))</f>
        <v>0</v>
      </c>
      <c r="BC100" s="92">
        <f>101325*(1+0.5*(1.4-1)*BB100^2)^3.5</f>
        <v>101325</v>
      </c>
      <c r="BD100" s="96">
        <f>((BC100)/(101325))*(1-(0.43+0.014*'Drag Polar'!$D$31)*SQRT(BB100))</f>
        <v>1</v>
      </c>
      <c r="BE100" s="92"/>
      <c r="BF100" s="92"/>
      <c r="BG100" s="95">
        <f>SQRT((B100*2)/($G$67*$G$68))</f>
        <v>0</v>
      </c>
      <c r="BH100" s="96">
        <f>BG100/SQRT(($D$66*1.4*8.3145)/(0.0289645))</f>
        <v>0</v>
      </c>
      <c r="BI100" s="92">
        <f>101325*(1+0.5*(1.4-1)*BH100^2)^3.5</f>
        <v>101325</v>
      </c>
      <c r="BJ100" s="96">
        <f>((BI100)/(101325))*(1-(0.43+0.014*'Drag Polar'!$D$31)*SQRT(BH100))</f>
        <v>1</v>
      </c>
      <c r="BK100" s="92"/>
      <c r="BL100" s="92"/>
      <c r="BM100" s="95">
        <f>SQRT((B100*2)/($H$67*$H$68))</f>
        <v>0</v>
      </c>
      <c r="BN100" s="96">
        <f>BM100/SQRT(($D$66*1.4*8.3145)/(0.0289645))</f>
        <v>0</v>
      </c>
      <c r="BO100" s="92">
        <f>101325*(1+0.5*(1.4-1)*BN100^2)^3.5</f>
        <v>101325</v>
      </c>
      <c r="BP100" s="96">
        <f>((BO100)/(101325))*(1-(0.43+0.014*'Drag Polar'!$D$31)*SQRT(BN100))</f>
        <v>1</v>
      </c>
      <c r="BQ100" s="92"/>
      <c r="BR100" s="92"/>
      <c r="BS100" s="95">
        <f t="shared" ref="BS100:BS164" si="0">SQRT((B100*2)/($D$55*$D$54))</f>
        <v>0</v>
      </c>
      <c r="BT100" s="92">
        <f>BS100/SQRT(($D$52*1.4*8.3145)/(0.0289645))</f>
        <v>0</v>
      </c>
      <c r="BU100" s="92">
        <f>$D$53*(1+0.5*(1.4-1)*BT100^2)^3.5</f>
        <v>39300</v>
      </c>
      <c r="BV100" s="96">
        <f>((BU100)/(101325))*(1-(0.43+0.014*'Drag Polar'!$D$31)*SQRT(BT100))</f>
        <v>0.38786084381939306</v>
      </c>
      <c r="BW100" s="92"/>
      <c r="BX100" s="92"/>
      <c r="BY100" s="92"/>
    </row>
    <row r="101" spans="1:77">
      <c r="A101" s="15"/>
      <c r="B101" s="88">
        <v>100</v>
      </c>
      <c r="C101" s="89">
        <f t="shared" ref="C101:C164" si="1">(1.225*$D$21^2*$D$16)/($D$24*2*1.23^2)</f>
        <v>5379.4075927863296</v>
      </c>
      <c r="D101" s="89">
        <f t="shared" ref="D101:D164" si="2">($D$30*$D$34*$D$16)/(2*$D$24*0.45)</f>
        <v>5788.633461047255</v>
      </c>
      <c r="E101" s="88"/>
      <c r="F101" s="90">
        <f>((TLAR!$B$21/AL101))*(SQRT(($D$47^2*(1.225*0.3345)*SQRT(Sheet1!$C$9))/((TLAR!$B$21*B101*2)))+2*SQRT(Sheet1!$C$10))</f>
        <v>0.68939747758056813</v>
      </c>
      <c r="G101" s="97">
        <f>((TLAR!$B$40)/(TLAR!$B$40-0))*(TLAR!$F$6/AR101)*((TLAR!$F$11*0.01)+2*SQRT(($D$64)/(PI()*'Drag Polar'!$D$6*$D$65)))</f>
        <v>0.16130956593098225</v>
      </c>
      <c r="H101" s="97">
        <f>((TLAR!$B$40)/(TLAR!$B$40-1))*(TLAR!$F$14/AX101)*((TLAR!$F$19*0.01)+2*SQRT(($E$64)/(PI()*'Drag Polar'!$D$6*$E$65)))</f>
        <v>0.22703065279685364</v>
      </c>
      <c r="I101" s="97">
        <f>((TLAR!$B$40)/(TLAR!$B$40-1))*(TLAR!$F$21/BD101)*((TLAR!$F$26*0.01)+2*SQRT(($F$64)/(PI()*'Drag Polar'!$D$6*$F$65)))</f>
        <v>0.24290882856869814</v>
      </c>
      <c r="J101" s="97">
        <f>((TLAR!$B$40)/(TLAR!$B$40-1))*(TLAR!$F$28/BJ101)*((TLAR!$F$33*0.01)+2*SQRT(($G$64)/(PI()*'Drag Polar'!$D$6*$G$65)))</f>
        <v>0.16183566914234052</v>
      </c>
      <c r="K101" s="97">
        <f>((TLAR!$B$40)/(TLAR!$B$40-1))*(TLAR!$F$35/BP101)*((TLAR!$F$40*0.01)+2*SQRT(($H$64)/(PI()*'Drag Polar'!$D$6*$H$65)))</f>
        <v>0.20248258116357223</v>
      </c>
      <c r="L101" s="15">
        <f>1.15*SQRT(((TLAR!$B$40)/(TLAR!$B$40-1))*((B101)/($D$73*0.85*1.225*9.81*PI()*'Drag Polar'!$E$42*'Drag Polar'!$D$6)))+((TLAR!$B$40)/(TLAR!$B$40-1))*((4*11)/($D$73))</f>
        <v>5.24993732207251E-2</v>
      </c>
      <c r="M101" s="15"/>
      <c r="N101" s="15"/>
      <c r="O101" s="15"/>
      <c r="P101" s="15"/>
      <c r="Q101" s="15"/>
      <c r="R101" s="15"/>
      <c r="S101" s="15"/>
      <c r="T101" s="15"/>
      <c r="U101" s="15"/>
      <c r="V101" s="15"/>
      <c r="W101" s="15"/>
      <c r="X101" s="15"/>
      <c r="Y101" s="15"/>
      <c r="Z101" s="15"/>
      <c r="AA101" s="15"/>
      <c r="AB101" s="15"/>
      <c r="AC101" s="15"/>
      <c r="AD101" s="15"/>
      <c r="AI101" s="95">
        <f>SQRT((B101*2)/($D$55*$D$54))</f>
        <v>22.452660490875758</v>
      </c>
      <c r="AJ101" s="96">
        <f t="shared" ref="AJ101:AJ164" si="3">AI101/SQRT(($D$52*1.4*8.3145)/(0.0289645))</f>
        <v>7.228827901647851E-2</v>
      </c>
      <c r="AK101" s="92">
        <f t="shared" ref="AK101:AK164" si="4">$D$53*(1+0.5*(1.4-1)*AJ101^2)^3.5</f>
        <v>39443.944027224643</v>
      </c>
      <c r="AL101" s="96">
        <f>((AK101)/(101325))*(1-(0.43+0.014*'Drag Polar'!$D$31)*SQRT(AJ101))</f>
        <v>0.33694942045058868</v>
      </c>
      <c r="AN101" s="92"/>
      <c r="AO101" s="95">
        <f t="shared" ref="AO101:AO164" si="5">SQRT((B101*2)/($D$67*$D$68))</f>
        <v>8.4756554138236151</v>
      </c>
      <c r="AP101" s="96">
        <f t="shared" ref="AP101:AP164" si="6">AO101/SQRT(($D$66*1.4*8.3145)/(0.0289645))</f>
        <v>2.4906626667782112E-2</v>
      </c>
      <c r="AQ101" s="92">
        <f t="shared" ref="AQ101:AQ164" si="7">101325*(1+0.5*(1.4-1)*AP101^2)^3.5</f>
        <v>101369.00599307094</v>
      </c>
      <c r="AR101" s="96">
        <f>((AQ101)/(101325))*(1-(0.43+0.014*'Drag Polar'!$D$31)*SQRT(AP101))</f>
        <v>0.92149086751611242</v>
      </c>
      <c r="AS101" s="92"/>
      <c r="AT101" s="92"/>
      <c r="AU101" s="95">
        <f t="shared" ref="AU101:AU164" si="8">SQRT((B101*2)/($E$67*$E$68))</f>
        <v>9.4760708295868561</v>
      </c>
      <c r="AV101" s="96">
        <f t="shared" ref="AV101:AV164" si="9">AU101/SQRT(($D$66*1.4*8.3145)/(0.0289645))</f>
        <v>2.7846455159684931E-2</v>
      </c>
      <c r="AW101" s="92">
        <f t="shared" ref="AW101:AW164" si="10">101325*(1+0.5*(1.4-1)*AV101^2)^3.5</f>
        <v>101380.00962401505</v>
      </c>
      <c r="AX101" s="96">
        <f>((AW101)/(101325))*(1-(0.43+0.014*'Drag Polar'!$D$31)*SQRT(AV101))</f>
        <v>0.91706131917603828</v>
      </c>
      <c r="AY101" s="92"/>
      <c r="AZ101" s="92"/>
      <c r="BA101" s="95">
        <f t="shared" ref="BA101:BA164" si="11">SQRT((B101*2)/($E$67*$E$68))</f>
        <v>9.4760708295868561</v>
      </c>
      <c r="BB101" s="96">
        <f t="shared" ref="BB101:BB164" si="12">BA101/SQRT(($D$66*1.4*8.3145)/(0.0289645))</f>
        <v>2.7846455159684931E-2</v>
      </c>
      <c r="BC101" s="92">
        <f t="shared" ref="BC101:BC164" si="13">101325*(1+0.5*(1.4-1)*BB101^2)^3.5</f>
        <v>101380.00962401505</v>
      </c>
      <c r="BD101" s="96">
        <f>((BC101)/(101325))*(1-(0.43+0.014*'Drag Polar'!$D$31)*SQRT(BB101))</f>
        <v>0.91706131917603828</v>
      </c>
      <c r="BE101" s="92"/>
      <c r="BF101" s="92"/>
      <c r="BG101" s="95">
        <f t="shared" ref="BG101:BG164" si="14">SQRT((B101*2)/($E$67*$E$68))</f>
        <v>9.4760708295868561</v>
      </c>
      <c r="BH101" s="96">
        <f t="shared" ref="BH101:BH164" si="15">BG101/SQRT(($D$66*1.4*8.3145)/(0.0289645))</f>
        <v>2.7846455159684931E-2</v>
      </c>
      <c r="BI101" s="92">
        <f t="shared" ref="BI101:BI164" si="16">101325*(1+0.5*(1.4-1)*BH101^2)^3.5</f>
        <v>101380.00962401505</v>
      </c>
      <c r="BJ101" s="96">
        <f>((BI101)/(101325))*(1-(0.43+0.014*'Drag Polar'!$D$31)*SQRT(BH101))</f>
        <v>0.91706131917603828</v>
      </c>
      <c r="BK101" s="92"/>
      <c r="BL101" s="92"/>
      <c r="BM101" s="95">
        <f t="shared" ref="BM101:BM164" si="17">SQRT((B101*2)/($H$67*$H$68))</f>
        <v>8.4756554138236151</v>
      </c>
      <c r="BN101" s="96">
        <f t="shared" ref="BN101:BN164" si="18">BM101/SQRT(($D$66*1.4*8.3145)/(0.0289645))</f>
        <v>2.4906626667782112E-2</v>
      </c>
      <c r="BO101" s="92">
        <f t="shared" ref="BO101:BO164" si="19">101325*(1+0.5*(1.4-1)*BN101^2)^3.5</f>
        <v>101369.00599307094</v>
      </c>
      <c r="BP101" s="96">
        <f>((BO101)/(101325))*(1-(0.43+0.014*'Drag Polar'!$D$31)*SQRT(BN101))</f>
        <v>0.92149086751611242</v>
      </c>
      <c r="BQ101" s="92"/>
      <c r="BR101" s="92"/>
      <c r="BS101" s="95">
        <f t="shared" si="0"/>
        <v>22.452660490875758</v>
      </c>
      <c r="BT101" s="96">
        <f t="shared" ref="BT101:BT164" si="20">BS101/SQRT(($D$52*1.4*8.3145)/(0.0289645))</f>
        <v>7.228827901647851E-2</v>
      </c>
      <c r="BU101" s="92">
        <f t="shared" ref="BU101:BU164" si="21">$D$53*(1+0.5*(1.4-1)*BT101^2)^3.5</f>
        <v>39443.944027224643</v>
      </c>
      <c r="BV101" s="96">
        <f>((BU101)/(101325))*(1-(0.43+0.014*'Drag Polar'!$D$31)*SQRT(BT101))</f>
        <v>0.33694942045058868</v>
      </c>
      <c r="BW101" s="92"/>
      <c r="BX101" s="92"/>
      <c r="BY101" s="92"/>
    </row>
    <row r="102" spans="1:77">
      <c r="A102" s="15"/>
      <c r="B102" s="88">
        <v>200</v>
      </c>
      <c r="C102" s="89">
        <f t="shared" si="1"/>
        <v>5379.4075927863296</v>
      </c>
      <c r="D102" s="89">
        <f t="shared" si="2"/>
        <v>5788.633461047255</v>
      </c>
      <c r="E102" s="90"/>
      <c r="F102" s="90">
        <f>((TLAR!$B$21/AL102))*(SQRT(($D$47^2*(1.225*0.3345)*SQRT(Sheet1!$C$9))/((TLAR!$B$21*B102*2)))+2*SQRT(Sheet1!$C$10))</f>
        <v>0.55313716934914237</v>
      </c>
      <c r="G102" s="97">
        <f>((TLAR!$B$40)/(TLAR!$B$40-0))*(TLAR!$F$6/AR102)*((TLAR!$F$11*0.01)+2*SQRT(($D$64)/(PI()*'Drag Polar'!$D$6*$D$65)))</f>
        <v>0.16389617875587698</v>
      </c>
      <c r="H102" s="97">
        <f>((TLAR!$B$40)/(TLAR!$B$40-1))*(TLAR!$F$14/AX102)*((TLAR!$F$19*0.01)+2*SQRT(($E$64)/(PI()*'Drag Polar'!$D$6*$E$65)))</f>
        <v>0.23088419363449941</v>
      </c>
      <c r="I102" s="97">
        <f>((TLAR!$B$40)/(TLAR!$B$40-1))*(TLAR!$F$21/BD102)*((TLAR!$F$26*0.01)+2*SQRT(($F$64)/(PI()*'Drag Polar'!$D$6*$F$65)))</f>
        <v>0.24703188014425681</v>
      </c>
      <c r="J102" s="97">
        <f>((TLAR!$B$40)/(TLAR!$B$40-1))*(TLAR!$F$28/BJ102)*((TLAR!$F$33*0.01)+2*SQRT(($G$64)/(PI()*'Drag Polar'!$D$6*$G$65)))</f>
        <v>0.16458261257198292</v>
      </c>
      <c r="K102" s="97">
        <f>((TLAR!$B$40)/(TLAR!$B$40-1))*(TLAR!$F$35/BP102)*((TLAR!$F$40*0.01)+2*SQRT(($H$64)/(PI()*'Drag Polar'!$D$6*$H$65)))</f>
        <v>0.20572940684457103</v>
      </c>
      <c r="L102" s="15">
        <f>1.15*SQRT(((TLAR!$B$40)/(TLAR!$B$40-1))*((B102)/($D$73*0.85*1.225*9.81*PI()*'Drag Polar'!$E$42*'Drag Polar'!$D$6)))+((TLAR!$B$40)/(TLAR!$B$40-1))*((4*11)/($D$73))</f>
        <v>6.064428327825707E-2</v>
      </c>
      <c r="M102" s="15"/>
      <c r="N102" s="15"/>
      <c r="O102" s="15"/>
      <c r="P102" s="15"/>
      <c r="Q102" s="15"/>
      <c r="R102" s="15"/>
      <c r="S102" s="15"/>
      <c r="T102" s="15"/>
      <c r="U102" s="15"/>
      <c r="V102" s="15"/>
      <c r="W102" s="15"/>
      <c r="X102" s="15"/>
      <c r="Y102" s="15"/>
      <c r="Z102" s="15"/>
      <c r="AA102" s="15"/>
      <c r="AB102" s="15"/>
      <c r="AC102" s="15"/>
      <c r="AD102" s="15"/>
      <c r="AI102" s="95">
        <f>SQRT((B102*2)/($D$55*$D$54))</f>
        <v>31.752856977555048</v>
      </c>
      <c r="AJ102" s="96">
        <f t="shared" si="3"/>
        <v>0.10223106458571432</v>
      </c>
      <c r="AK102" s="92">
        <f t="shared" si="4"/>
        <v>39588.26424912527</v>
      </c>
      <c r="AL102" s="96">
        <f>((AK102)/(101325))*(1-(0.43+0.014*'Drag Polar'!$D$31)*SQRT(AJ102))</f>
        <v>0.32824445118661844</v>
      </c>
      <c r="AN102" s="92"/>
      <c r="AO102" s="95">
        <f t="shared" si="5"/>
        <v>11.986386836230302</v>
      </c>
      <c r="AP102" s="96">
        <f t="shared" si="6"/>
        <v>3.5223289226540867E-2</v>
      </c>
      <c r="AQ102" s="92">
        <f t="shared" si="7"/>
        <v>101413.02563590524</v>
      </c>
      <c r="AR102" s="96">
        <f>((AQ102)/(101325))*(1-(0.43+0.014*'Drag Polar'!$D$31)*SQRT(AP102))</f>
        <v>0.90694787991241221</v>
      </c>
      <c r="AS102" s="92"/>
      <c r="AT102" s="92"/>
      <c r="AU102" s="95">
        <f t="shared" si="8"/>
        <v>13.401187885209797</v>
      </c>
      <c r="AV102" s="96">
        <f t="shared" si="9"/>
        <v>3.9380834550840682E-2</v>
      </c>
      <c r="AW102" s="92">
        <f t="shared" si="10"/>
        <v>101435.04057677736</v>
      </c>
      <c r="AX102" s="96">
        <f>((AW102)/(101325))*(1-(0.43+0.014*'Drag Polar'!$D$31)*SQRT(AV102))</f>
        <v>0.90175523352140674</v>
      </c>
      <c r="AY102" s="92"/>
      <c r="AZ102" s="92"/>
      <c r="BA102" s="95">
        <f t="shared" si="11"/>
        <v>13.401187885209797</v>
      </c>
      <c r="BB102" s="96">
        <f t="shared" si="12"/>
        <v>3.9380834550840682E-2</v>
      </c>
      <c r="BC102" s="92">
        <f t="shared" si="13"/>
        <v>101435.04057677736</v>
      </c>
      <c r="BD102" s="96">
        <f>((BC102)/(101325))*(1-(0.43+0.014*'Drag Polar'!$D$31)*SQRT(BB102))</f>
        <v>0.90175523352140674</v>
      </c>
      <c r="BE102" s="92"/>
      <c r="BF102" s="92"/>
      <c r="BG102" s="95">
        <f t="shared" si="14"/>
        <v>13.401187885209797</v>
      </c>
      <c r="BH102" s="96">
        <f t="shared" si="15"/>
        <v>3.9380834550840682E-2</v>
      </c>
      <c r="BI102" s="92">
        <f t="shared" si="16"/>
        <v>101435.04057677736</v>
      </c>
      <c r="BJ102" s="96">
        <f>((BI102)/(101325))*(1-(0.43+0.014*'Drag Polar'!$D$31)*SQRT(BH102))</f>
        <v>0.90175523352140674</v>
      </c>
      <c r="BK102" s="92"/>
      <c r="BL102" s="92"/>
      <c r="BM102" s="95">
        <f t="shared" si="17"/>
        <v>11.986386836230302</v>
      </c>
      <c r="BN102" s="96">
        <f t="shared" si="18"/>
        <v>3.5223289226540867E-2</v>
      </c>
      <c r="BO102" s="92">
        <f t="shared" si="19"/>
        <v>101413.02563590524</v>
      </c>
      <c r="BP102" s="96">
        <f>((BO102)/(101325))*(1-(0.43+0.014*'Drag Polar'!$D$31)*SQRT(BN102))</f>
        <v>0.90694787991241221</v>
      </c>
      <c r="BQ102" s="92"/>
      <c r="BR102" s="92"/>
      <c r="BS102" s="95">
        <f t="shared" si="0"/>
        <v>31.752856977555048</v>
      </c>
      <c r="BT102" s="96">
        <f t="shared" si="20"/>
        <v>0.10223106458571432</v>
      </c>
      <c r="BU102" s="92">
        <f t="shared" si="21"/>
        <v>39588.26424912527</v>
      </c>
      <c r="BV102" s="96">
        <f>((BU102)/(101325))*(1-(0.43+0.014*'Drag Polar'!$D$31)*SQRT(BT102))</f>
        <v>0.32824445118661844</v>
      </c>
      <c r="BW102" s="92"/>
      <c r="BX102" s="92"/>
      <c r="BY102" s="92"/>
    </row>
    <row r="103" spans="1:77">
      <c r="A103" s="15"/>
      <c r="B103" s="88">
        <v>300</v>
      </c>
      <c r="C103" s="89">
        <f t="shared" si="1"/>
        <v>5379.4075927863296</v>
      </c>
      <c r="D103" s="89">
        <f t="shared" si="2"/>
        <v>5788.633461047255</v>
      </c>
      <c r="E103" s="90"/>
      <c r="F103" s="90">
        <f>((TLAR!$B$21/AL103))*(SQRT(($D$47^2*(1.225*0.3345)*SQRT(Sheet1!$C$9))/((TLAR!$B$21*B103*2)))+2*SQRT(Sheet1!$C$10))</f>
        <v>0.49291338373114824</v>
      </c>
      <c r="G103" s="97">
        <f>((TLAR!$B$40)/(TLAR!$B$40-0))*(TLAR!$F$6/AR103)*((TLAR!$F$11*0.01)+2*SQRT(($D$64)/(PI()*'Drag Polar'!$D$6*$D$65)))</f>
        <v>0.16565514924890076</v>
      </c>
      <c r="H103" s="97">
        <f>((TLAR!$B$40)/(TLAR!$B$40-1))*(TLAR!$F$14/AX103)*((TLAR!$F$19*0.01)+2*SQRT(($E$64)/(PI()*'Drag Polar'!$D$6*$E$65)))</f>
        <v>0.2335029162238608</v>
      </c>
      <c r="I103" s="97">
        <f>((TLAR!$B$40)/(TLAR!$B$40-1))*(TLAR!$F$21/BD103)*((TLAR!$F$26*0.01)+2*SQRT(($F$64)/(PI()*'Drag Polar'!$D$6*$F$65)))</f>
        <v>0.24983375217647683</v>
      </c>
      <c r="J103" s="97">
        <f>((TLAR!$B$40)/(TLAR!$B$40-1))*(TLAR!$F$28/BJ103)*((TLAR!$F$33*0.01)+2*SQRT(($G$64)/(PI()*'Drag Polar'!$D$6*$G$65)))</f>
        <v>0.16644933284665295</v>
      </c>
      <c r="K103" s="97">
        <f>((TLAR!$B$40)/(TLAR!$B$40-1))*(TLAR!$F$35/BP103)*((TLAR!$F$40*0.01)+2*SQRT(($H$64)/(PI()*'Drag Polar'!$D$6*$H$65)))</f>
        <v>0.20793734090950064</v>
      </c>
      <c r="L103" s="15">
        <f>1.15*SQRT(((TLAR!$B$40)/(TLAR!$B$40-1))*((B103)/($D$73*0.85*1.225*9.81*PI()*'Drag Polar'!$E$42*'Drag Polar'!$D$6)))+((TLAR!$B$40)/(TLAR!$B$40-1))*((4*11)/($D$73))</f>
        <v>6.6894092580062625E-2</v>
      </c>
      <c r="M103" s="15"/>
      <c r="N103" s="15"/>
      <c r="O103" s="15"/>
      <c r="P103" s="15"/>
      <c r="Q103" s="15"/>
      <c r="R103" s="15"/>
      <c r="S103" s="15"/>
      <c r="T103" s="15"/>
      <c r="U103" s="15"/>
      <c r="V103" s="15"/>
      <c r="W103" s="15"/>
      <c r="X103" s="15"/>
      <c r="Y103" s="15"/>
      <c r="Z103" s="15"/>
      <c r="AA103" s="15"/>
      <c r="AB103" s="15"/>
      <c r="AC103" s="15"/>
      <c r="AD103" s="15"/>
      <c r="AI103" s="95">
        <f t="shared" ref="AI103:AI164" si="22">SQRT((B103*2)/($D$55*$D$54))</f>
        <v>38.88914873529118</v>
      </c>
      <c r="AJ103" s="96">
        <f t="shared" si="3"/>
        <v>0.12520697204825593</v>
      </c>
      <c r="AK103" s="92">
        <f t="shared" si="4"/>
        <v>39732.961254992253</v>
      </c>
      <c r="AL103" s="96">
        <f>((AK103)/(101325))*(1-(0.43+0.014*'Drag Polar'!$D$31)*SQRT(AJ103))</f>
        <v>0.3227563494003689</v>
      </c>
      <c r="AN103" s="92"/>
      <c r="AO103" s="95">
        <f t="shared" si="5"/>
        <v>14.68026580418872</v>
      </c>
      <c r="AP103" s="96">
        <f t="shared" si="6"/>
        <v>4.3139542833748538E-2</v>
      </c>
      <c r="AQ103" s="92">
        <f t="shared" si="7"/>
        <v>101457.05893104275</v>
      </c>
      <c r="AR103" s="96">
        <f>((AQ103)/(101325))*(1-(0.43+0.014*'Drag Polar'!$D$31)*SQRT(AP103))</f>
        <v>0.89731766577956051</v>
      </c>
      <c r="AS103" s="92"/>
      <c r="AT103" s="92"/>
      <c r="AU103" s="95">
        <f t="shared" si="8"/>
        <v>16.413036132965797</v>
      </c>
      <c r="AV103" s="96">
        <f t="shared" si="9"/>
        <v>4.8231475147262823E-2</v>
      </c>
      <c r="AW103" s="92">
        <f t="shared" si="10"/>
        <v>101490.09286324799</v>
      </c>
      <c r="AX103" s="96">
        <f>((AW103)/(101325))*(1-(0.43+0.014*'Drag Polar'!$D$31)*SQRT(AV103))</f>
        <v>0.89164209729901611</v>
      </c>
      <c r="AY103" s="92"/>
      <c r="AZ103" s="92"/>
      <c r="BA103" s="95">
        <f t="shared" si="11"/>
        <v>16.413036132965797</v>
      </c>
      <c r="BB103" s="96">
        <f t="shared" si="12"/>
        <v>4.8231475147262823E-2</v>
      </c>
      <c r="BC103" s="92">
        <f t="shared" si="13"/>
        <v>101490.09286324799</v>
      </c>
      <c r="BD103" s="96">
        <f>((BC103)/(101325))*(1-(0.43+0.014*'Drag Polar'!$D$31)*SQRT(BB103))</f>
        <v>0.89164209729901611</v>
      </c>
      <c r="BE103" s="92"/>
      <c r="BF103" s="92"/>
      <c r="BG103" s="95">
        <f t="shared" si="14"/>
        <v>16.413036132965797</v>
      </c>
      <c r="BH103" s="96">
        <f t="shared" si="15"/>
        <v>4.8231475147262823E-2</v>
      </c>
      <c r="BI103" s="92">
        <f t="shared" si="16"/>
        <v>101490.09286324799</v>
      </c>
      <c r="BJ103" s="96">
        <f>((BI103)/(101325))*(1-(0.43+0.014*'Drag Polar'!$D$31)*SQRT(BH103))</f>
        <v>0.89164209729901611</v>
      </c>
      <c r="BK103" s="92"/>
      <c r="BL103" s="92"/>
      <c r="BM103" s="95">
        <f t="shared" si="17"/>
        <v>14.68026580418872</v>
      </c>
      <c r="BN103" s="96">
        <f t="shared" si="18"/>
        <v>4.3139542833748538E-2</v>
      </c>
      <c r="BO103" s="92">
        <f t="shared" si="19"/>
        <v>101457.05893104275</v>
      </c>
      <c r="BP103" s="96">
        <f>((BO103)/(101325))*(1-(0.43+0.014*'Drag Polar'!$D$31)*SQRT(BN103))</f>
        <v>0.89731766577956051</v>
      </c>
      <c r="BQ103" s="92"/>
      <c r="BR103" s="92"/>
      <c r="BS103" s="95">
        <f t="shared" si="0"/>
        <v>38.88914873529118</v>
      </c>
      <c r="BT103" s="96">
        <f t="shared" si="20"/>
        <v>0.12520697204825593</v>
      </c>
      <c r="BU103" s="92">
        <f t="shared" si="21"/>
        <v>39732.961254992253</v>
      </c>
      <c r="BV103" s="96">
        <f>((BU103)/(101325))*(1-(0.43+0.014*'Drag Polar'!$D$31)*SQRT(BT103))</f>
        <v>0.3227563494003689</v>
      </c>
      <c r="BW103" s="92"/>
      <c r="BX103" s="92"/>
      <c r="BY103" s="92"/>
    </row>
    <row r="104" spans="1:77">
      <c r="A104" s="15"/>
      <c r="B104" s="88">
        <v>400</v>
      </c>
      <c r="C104" s="89">
        <f t="shared" si="1"/>
        <v>5379.4075927863296</v>
      </c>
      <c r="D104" s="89">
        <f t="shared" si="2"/>
        <v>5788.633461047255</v>
      </c>
      <c r="E104" s="90"/>
      <c r="F104" s="90">
        <f>((TLAR!$B$21/AL104))*(SQRT(($D$47^2*(1.225*0.3345)*SQRT(Sheet1!$C$9))/((TLAR!$B$21*B104*2)))+2*SQRT(Sheet1!$C$10))</f>
        <v>0.45709062431701758</v>
      </c>
      <c r="G104" s="97">
        <f>((TLAR!$B$40)/(TLAR!$B$40-0))*(TLAR!$F$6/AR104)*((TLAR!$F$11*0.01)+2*SQRT(($D$64)/(PI()*'Drag Polar'!$D$6*$D$65)))</f>
        <v>0.16702662898245607</v>
      </c>
      <c r="H104" s="97">
        <f>((TLAR!$B$40)/(TLAR!$B$40-1))*(TLAR!$F$14/AX104)*((TLAR!$F$19*0.01)+2*SQRT(($E$64)/(PI()*'Drag Polar'!$D$6*$E$65)))</f>
        <v>0.23554290840231196</v>
      </c>
      <c r="I104" s="97">
        <f>((TLAR!$B$40)/(TLAR!$B$40-1))*(TLAR!$F$21/BD104)*((TLAR!$F$26*0.01)+2*SQRT(($F$64)/(PI()*'Drag Polar'!$D$6*$F$65)))</f>
        <v>0.25201641828016053</v>
      </c>
      <c r="J104" s="97">
        <f>((TLAR!$B$40)/(TLAR!$B$40-1))*(TLAR!$F$28/BJ104)*((TLAR!$F$33*0.01)+2*SQRT(($G$64)/(PI()*'Drag Polar'!$D$6*$G$65)))</f>
        <v>0.16790351313102272</v>
      </c>
      <c r="K104" s="97">
        <f>((TLAR!$B$40)/(TLAR!$B$40-1))*(TLAR!$F$35/BP104)*((TLAR!$F$40*0.01)+2*SQRT(($H$64)/(PI()*'Drag Polar'!$D$6*$H$65)))</f>
        <v>0.20965888020483678</v>
      </c>
      <c r="L104" s="15">
        <f>1.15*SQRT(((TLAR!$B$40)/(TLAR!$B$40-1))*((B104)/($D$73*0.85*1.225*9.81*PI()*'Drag Polar'!$E$42*'Drag Polar'!$D$6)))+((TLAR!$B$40)/(TLAR!$B$40-1))*((4*11)/($D$73))</f>
        <v>7.216292554592782E-2</v>
      </c>
      <c r="M104" s="15"/>
      <c r="N104" s="15"/>
      <c r="O104" s="15"/>
      <c r="P104" s="15"/>
      <c r="Q104" s="15"/>
      <c r="R104" s="15"/>
      <c r="S104" s="15"/>
      <c r="T104" s="15"/>
      <c r="U104" s="15"/>
      <c r="V104" s="15"/>
      <c r="W104" s="15"/>
      <c r="X104" s="15"/>
      <c r="Y104" s="15"/>
      <c r="Z104" s="15"/>
      <c r="AA104" s="15"/>
      <c r="AB104" s="15"/>
      <c r="AC104" s="15"/>
      <c r="AD104" s="15"/>
      <c r="AI104" s="95">
        <f t="shared" si="22"/>
        <v>44.905320981751515</v>
      </c>
      <c r="AJ104" s="96">
        <f t="shared" si="3"/>
        <v>0.14457655803295702</v>
      </c>
      <c r="AK104" s="92">
        <f t="shared" si="4"/>
        <v>39878.035634423206</v>
      </c>
      <c r="AL104" s="96">
        <f>((AK104)/(101325))*(1-(0.43+0.014*'Drag Polar'!$D$31)*SQRT(AJ104))</f>
        <v>0.31874244443006416</v>
      </c>
      <c r="AN104" s="92"/>
      <c r="AO104" s="95">
        <f t="shared" si="5"/>
        <v>16.95131082764723</v>
      </c>
      <c r="AP104" s="96">
        <f t="shared" si="6"/>
        <v>4.9813253335564224E-2</v>
      </c>
      <c r="AQ104" s="92">
        <f t="shared" si="7"/>
        <v>101501.10588102379</v>
      </c>
      <c r="AR104" s="96">
        <f>((AQ104)/(101325))*(1-(0.43+0.014*'Drag Polar'!$D$31)*SQRT(AP104))</f>
        <v>0.88994966104477613</v>
      </c>
      <c r="AS104" s="92"/>
      <c r="AT104" s="92"/>
      <c r="AU104" s="95">
        <f t="shared" si="8"/>
        <v>18.952141659173712</v>
      </c>
      <c r="AV104" s="96">
        <f t="shared" si="9"/>
        <v>5.5692910319369862E-2</v>
      </c>
      <c r="AW104" s="92">
        <f t="shared" si="10"/>
        <v>101545.16648838851</v>
      </c>
      <c r="AX104" s="96">
        <f>((AW104)/(101325))*(1-(0.43+0.014*'Drag Polar'!$D$31)*SQRT(AV104))</f>
        <v>0.88391975525609212</v>
      </c>
      <c r="AY104" s="92"/>
      <c r="AZ104" s="92"/>
      <c r="BA104" s="95">
        <f t="shared" si="11"/>
        <v>18.952141659173712</v>
      </c>
      <c r="BB104" s="96">
        <f t="shared" si="12"/>
        <v>5.5692910319369862E-2</v>
      </c>
      <c r="BC104" s="92">
        <f t="shared" si="13"/>
        <v>101545.16648838851</v>
      </c>
      <c r="BD104" s="96">
        <f>((BC104)/(101325))*(1-(0.43+0.014*'Drag Polar'!$D$31)*SQRT(BB104))</f>
        <v>0.88391975525609212</v>
      </c>
      <c r="BE104" s="92"/>
      <c r="BF104" s="92"/>
      <c r="BG104" s="95">
        <f t="shared" si="14"/>
        <v>18.952141659173712</v>
      </c>
      <c r="BH104" s="96">
        <f t="shared" si="15"/>
        <v>5.5692910319369862E-2</v>
      </c>
      <c r="BI104" s="92">
        <f t="shared" si="16"/>
        <v>101545.16648838851</v>
      </c>
      <c r="BJ104" s="96">
        <f>((BI104)/(101325))*(1-(0.43+0.014*'Drag Polar'!$D$31)*SQRT(BH104))</f>
        <v>0.88391975525609212</v>
      </c>
      <c r="BK104" s="92"/>
      <c r="BL104" s="92"/>
      <c r="BM104" s="95">
        <f t="shared" si="17"/>
        <v>16.95131082764723</v>
      </c>
      <c r="BN104" s="96">
        <f t="shared" si="18"/>
        <v>4.9813253335564224E-2</v>
      </c>
      <c r="BO104" s="92">
        <f t="shared" si="19"/>
        <v>101501.10588102379</v>
      </c>
      <c r="BP104" s="96">
        <f>((BO104)/(101325))*(1-(0.43+0.014*'Drag Polar'!$D$31)*SQRT(BN104))</f>
        <v>0.88994966104477613</v>
      </c>
      <c r="BQ104" s="92"/>
      <c r="BR104" s="92"/>
      <c r="BS104" s="95">
        <f t="shared" si="0"/>
        <v>44.905320981751515</v>
      </c>
      <c r="BT104" s="96">
        <f t="shared" si="20"/>
        <v>0.14457655803295702</v>
      </c>
      <c r="BU104" s="92">
        <f t="shared" si="21"/>
        <v>39878.035634423206</v>
      </c>
      <c r="BV104" s="96">
        <f>((BU104)/(101325))*(1-(0.43+0.014*'Drag Polar'!$D$31)*SQRT(BT104))</f>
        <v>0.31874244443006416</v>
      </c>
      <c r="BW104" s="92"/>
      <c r="BX104" s="92"/>
      <c r="BY104" s="92"/>
    </row>
    <row r="105" spans="1:77">
      <c r="A105" s="15"/>
      <c r="B105" s="88">
        <v>500</v>
      </c>
      <c r="C105" s="89">
        <f t="shared" si="1"/>
        <v>5379.4075927863296</v>
      </c>
      <c r="D105" s="89">
        <f t="shared" si="2"/>
        <v>5788.633461047255</v>
      </c>
      <c r="E105" s="90"/>
      <c r="F105" s="90">
        <f>((TLAR!$B$21/AL105))*(SQRT(($D$47^2*(1.225*0.3345)*SQRT(Sheet1!$C$9))/((TLAR!$B$21*B105*2)))+2*SQRT(Sheet1!$C$10))</f>
        <v>0.4326781903893156</v>
      </c>
      <c r="G105" s="97">
        <f>((TLAR!$B$40)/(TLAR!$B$40-0))*(TLAR!$F$6/AR105)*((TLAR!$F$11*0.01)+2*SQRT(($D$64)/(PI()*'Drag Polar'!$D$6*$D$65)))</f>
        <v>0.1681660478391756</v>
      </c>
      <c r="H105" s="97">
        <f>((TLAR!$B$40)/(TLAR!$B$40-1))*(TLAR!$F$14/AX105)*((TLAR!$F$19*0.01)+2*SQRT(($E$64)/(PI()*'Drag Polar'!$D$6*$E$65)))</f>
        <v>0.23723603286798228</v>
      </c>
      <c r="I105" s="97">
        <f>((TLAR!$B$40)/(TLAR!$B$40-1))*(TLAR!$F$21/BD105)*((TLAR!$F$26*0.01)+2*SQRT(($F$64)/(PI()*'Drag Polar'!$D$6*$F$65)))</f>
        <v>0.2538279572750512</v>
      </c>
      <c r="J105" s="97">
        <f>((TLAR!$B$40)/(TLAR!$B$40-1))*(TLAR!$F$28/BJ105)*((TLAR!$F$33*0.01)+2*SQRT(($G$64)/(PI()*'Drag Polar'!$D$6*$G$65)))</f>
        <v>0.16911043355109573</v>
      </c>
      <c r="K105" s="97">
        <f>((TLAR!$B$40)/(TLAR!$B$40-1))*(TLAR!$F$35/BP105)*((TLAR!$F$40*0.01)+2*SQRT(($H$64)/(PI()*'Drag Polar'!$D$6*$H$65)))</f>
        <v>0.2110891268848987</v>
      </c>
      <c r="L105" s="15">
        <f>1.15*SQRT(((TLAR!$B$40)/(TLAR!$B$40-1))*((B105)/($D$73*0.85*1.225*9.81*PI()*'Drag Polar'!$E$42*'Drag Polar'!$D$6)))+((TLAR!$B$40)/(TLAR!$B$40-1))*((4*11)/($D$73))</f>
        <v>7.6804860573799705E-2</v>
      </c>
      <c r="M105" s="15"/>
      <c r="N105" s="15"/>
      <c r="O105" s="15"/>
      <c r="P105" s="15"/>
      <c r="Q105" s="15"/>
      <c r="R105" s="15"/>
      <c r="S105" s="15"/>
      <c r="T105" s="15"/>
      <c r="U105" s="15"/>
      <c r="V105" s="15"/>
      <c r="W105" s="15"/>
      <c r="X105" s="15"/>
      <c r="Y105" s="15"/>
      <c r="Z105" s="15"/>
      <c r="AA105" s="15"/>
      <c r="AB105" s="15"/>
      <c r="AC105" s="15"/>
      <c r="AD105" s="15"/>
      <c r="AI105" s="95">
        <f t="shared" si="22"/>
        <v>50.205675133321989</v>
      </c>
      <c r="AJ105" s="96">
        <f t="shared" si="3"/>
        <v>0.16164150585731757</v>
      </c>
      <c r="AK105" s="92">
        <f t="shared" si="4"/>
        <v>40023.487977323108</v>
      </c>
      <c r="AL105" s="96">
        <f>((AK105)/(101325))*(1-(0.43+0.014*'Drag Polar'!$D$31)*SQRT(AJ105))</f>
        <v>0.31559667820052184</v>
      </c>
      <c r="AN105" s="92"/>
      <c r="AO105" s="95">
        <f t="shared" si="5"/>
        <v>18.952141659173712</v>
      </c>
      <c r="AP105" s="96">
        <f t="shared" si="6"/>
        <v>5.5692910319369862E-2</v>
      </c>
      <c r="AQ105" s="92">
        <f t="shared" si="7"/>
        <v>101545.16648838851</v>
      </c>
      <c r="AR105" s="96">
        <f>((AQ105)/(101325))*(1-(0.43+0.014*'Drag Polar'!$D$31)*SQRT(AP105))</f>
        <v>0.88391975525609212</v>
      </c>
      <c r="AS105" s="92"/>
      <c r="AT105" s="92"/>
      <c r="AU105" s="95">
        <f t="shared" si="8"/>
        <v>21.189138534559035</v>
      </c>
      <c r="AV105" s="96">
        <f t="shared" si="9"/>
        <v>6.2266566669455271E-2</v>
      </c>
      <c r="AW105" s="92">
        <f t="shared" si="10"/>
        <v>101600.26145716071</v>
      </c>
      <c r="AX105" s="96">
        <f>((AW105)/(101325))*(1-(0.43+0.014*'Drag Polar'!$D$31)*SQRT(AV105))</f>
        <v>0.8776113283901521</v>
      </c>
      <c r="AY105" s="92"/>
      <c r="AZ105" s="92"/>
      <c r="BA105" s="95">
        <f t="shared" si="11"/>
        <v>21.189138534559035</v>
      </c>
      <c r="BB105" s="96">
        <f t="shared" si="12"/>
        <v>6.2266566669455271E-2</v>
      </c>
      <c r="BC105" s="92">
        <f t="shared" si="13"/>
        <v>101600.26145716071</v>
      </c>
      <c r="BD105" s="96">
        <f>((BC105)/(101325))*(1-(0.43+0.014*'Drag Polar'!$D$31)*SQRT(BB105))</f>
        <v>0.8776113283901521</v>
      </c>
      <c r="BE105" s="92"/>
      <c r="BF105" s="92"/>
      <c r="BG105" s="95">
        <f t="shared" si="14"/>
        <v>21.189138534559035</v>
      </c>
      <c r="BH105" s="96">
        <f t="shared" si="15"/>
        <v>6.2266566669455271E-2</v>
      </c>
      <c r="BI105" s="92">
        <f t="shared" si="16"/>
        <v>101600.26145716071</v>
      </c>
      <c r="BJ105" s="96">
        <f>((BI105)/(101325))*(1-(0.43+0.014*'Drag Polar'!$D$31)*SQRT(BH105))</f>
        <v>0.8776113283901521</v>
      </c>
      <c r="BK105" s="92"/>
      <c r="BL105" s="92"/>
      <c r="BM105" s="95">
        <f t="shared" si="17"/>
        <v>18.952141659173712</v>
      </c>
      <c r="BN105" s="96">
        <f t="shared" si="18"/>
        <v>5.5692910319369862E-2</v>
      </c>
      <c r="BO105" s="92">
        <f t="shared" si="19"/>
        <v>101545.16648838851</v>
      </c>
      <c r="BP105" s="96">
        <f>((BO105)/(101325))*(1-(0.43+0.014*'Drag Polar'!$D$31)*SQRT(BN105))</f>
        <v>0.88391975525609212</v>
      </c>
      <c r="BQ105" s="92"/>
      <c r="BR105" s="92"/>
      <c r="BS105" s="95">
        <f t="shared" si="0"/>
        <v>50.205675133321989</v>
      </c>
      <c r="BT105" s="96">
        <f t="shared" si="20"/>
        <v>0.16164150585731757</v>
      </c>
      <c r="BU105" s="92">
        <f t="shared" si="21"/>
        <v>40023.487977323108</v>
      </c>
      <c r="BV105" s="96">
        <f>((BU105)/(101325))*(1-(0.43+0.014*'Drag Polar'!$D$31)*SQRT(BT105))</f>
        <v>0.31559667820052184</v>
      </c>
      <c r="BW105" s="92"/>
      <c r="BX105" s="92"/>
      <c r="BY105" s="92"/>
    </row>
    <row r="106" spans="1:77">
      <c r="A106" s="15"/>
      <c r="B106" s="88">
        <v>600</v>
      </c>
      <c r="C106" s="89">
        <f t="shared" si="1"/>
        <v>5379.4075927863296</v>
      </c>
      <c r="D106" s="89">
        <f t="shared" si="2"/>
        <v>5788.633461047255</v>
      </c>
      <c r="E106" s="90"/>
      <c r="F106" s="90">
        <f>((TLAR!$B$21/AL106))*(SQRT(($D$47^2*(1.225*0.3345)*SQRT(Sheet1!$C$9))/((TLAR!$B$21*B106*2)))+2*SQRT(Sheet1!$C$10))</f>
        <v>0.41466678842733073</v>
      </c>
      <c r="G106" s="97">
        <f>((TLAR!$B$40)/(TLAR!$B$40-0))*(TLAR!$F$6/AR106)*((TLAR!$F$11*0.01)+2*SQRT(($D$64)/(PI()*'Drag Polar'!$D$6*$D$65)))</f>
        <v>0.16914840152906885</v>
      </c>
      <c r="H106" s="97">
        <f>((TLAR!$B$40)/(TLAR!$B$40-1))*(TLAR!$F$14/AX106)*((TLAR!$F$19*0.01)+2*SQRT(($E$64)/(PI()*'Drag Polar'!$D$6*$E$65)))</f>
        <v>0.23869422997944331</v>
      </c>
      <c r="I106" s="97">
        <f>((TLAR!$B$40)/(TLAR!$B$40-1))*(TLAR!$F$21/BD106)*((TLAR!$F$26*0.01)+2*SQRT(($F$64)/(PI()*'Drag Polar'!$D$6*$F$65)))</f>
        <v>0.25538813845677116</v>
      </c>
      <c r="J106" s="97">
        <f>((TLAR!$B$40)/(TLAR!$B$40-1))*(TLAR!$F$28/BJ106)*((TLAR!$F$33*0.01)+2*SQRT(($G$64)/(PI()*'Drag Polar'!$D$6*$G$65)))</f>
        <v>0.17014988924735311</v>
      </c>
      <c r="K106" s="97">
        <f>((TLAR!$B$40)/(TLAR!$B$40-1))*(TLAR!$F$35/BP106)*((TLAR!$F$40*0.01)+2*SQRT(($H$64)/(PI()*'Drag Polar'!$D$6*$H$65)))</f>
        <v>0.21232221873284435</v>
      </c>
      <c r="L106" s="15">
        <f>1.15*SQRT(((TLAR!$B$40)/(TLAR!$B$40-1))*((B106)/($D$73*0.85*1.225*9.81*PI()*'Drag Polar'!$E$42*'Drag Polar'!$D$6)))+((TLAR!$B$40)/(TLAR!$B$40-1))*((4*11)/($D$73))</f>
        <v>8.1001490622786748E-2</v>
      </c>
      <c r="M106" s="15"/>
      <c r="N106" s="15"/>
      <c r="O106" s="15"/>
      <c r="P106" s="15"/>
      <c r="Q106" s="15"/>
      <c r="R106" s="15"/>
      <c r="S106" s="15"/>
      <c r="T106" s="15"/>
      <c r="U106" s="15"/>
      <c r="V106" s="15"/>
      <c r="W106" s="15"/>
      <c r="X106" s="15"/>
      <c r="Y106" s="15"/>
      <c r="Z106" s="15"/>
      <c r="AA106" s="15"/>
      <c r="AB106" s="15"/>
      <c r="AC106" s="15"/>
      <c r="AD106" s="15"/>
      <c r="AI106" s="95">
        <f t="shared" si="22"/>
        <v>54.997561570593284</v>
      </c>
      <c r="AJ106" s="96">
        <f t="shared" si="3"/>
        <v>0.17706939797431256</v>
      </c>
      <c r="AK106" s="92">
        <f t="shared" si="4"/>
        <v>40169.318873903845</v>
      </c>
      <c r="AL106" s="96">
        <f>((AK106)/(101325))*(1-(0.43+0.014*'Drag Polar'!$D$31)*SQRT(AJ106))</f>
        <v>0.31303006714682269</v>
      </c>
      <c r="AN106" s="92"/>
      <c r="AO106" s="95">
        <f t="shared" si="5"/>
        <v>20.761030999525659</v>
      </c>
      <c r="AP106" s="96">
        <f t="shared" si="6"/>
        <v>6.1008526550062246E-2</v>
      </c>
      <c r="AQ106" s="92">
        <f t="shared" si="7"/>
        <v>101589.24075567759</v>
      </c>
      <c r="AR106" s="96">
        <f>((AQ106)/(101325))*(1-(0.43+0.014*'Drag Polar'!$D$31)*SQRT(AP106))</f>
        <v>0.87878626404189253</v>
      </c>
      <c r="AS106" s="92"/>
      <c r="AT106" s="92"/>
      <c r="AU106" s="95">
        <f t="shared" si="8"/>
        <v>23.211538298959887</v>
      </c>
      <c r="AV106" s="96">
        <f t="shared" si="9"/>
        <v>6.8209606286519953E-2</v>
      </c>
      <c r="AW106" s="92">
        <f t="shared" si="10"/>
        <v>101655.37777452682</v>
      </c>
      <c r="AX106" s="96">
        <f>((AW106)/(101325))*(1-(0.43+0.014*'Drag Polar'!$D$31)*SQRT(AV106))</f>
        <v>0.87224994908846476</v>
      </c>
      <c r="AY106" s="92"/>
      <c r="AZ106" s="92"/>
      <c r="BA106" s="95">
        <f t="shared" si="11"/>
        <v>23.211538298959887</v>
      </c>
      <c r="BB106" s="96">
        <f t="shared" si="12"/>
        <v>6.8209606286519953E-2</v>
      </c>
      <c r="BC106" s="92">
        <f t="shared" si="13"/>
        <v>101655.37777452682</v>
      </c>
      <c r="BD106" s="96">
        <f>((BC106)/(101325))*(1-(0.43+0.014*'Drag Polar'!$D$31)*SQRT(BB106))</f>
        <v>0.87224994908846476</v>
      </c>
      <c r="BE106" s="92"/>
      <c r="BF106" s="92"/>
      <c r="BG106" s="95">
        <f t="shared" si="14"/>
        <v>23.211538298959887</v>
      </c>
      <c r="BH106" s="96">
        <f t="shared" si="15"/>
        <v>6.8209606286519953E-2</v>
      </c>
      <c r="BI106" s="92">
        <f t="shared" si="16"/>
        <v>101655.37777452682</v>
      </c>
      <c r="BJ106" s="96">
        <f>((BI106)/(101325))*(1-(0.43+0.014*'Drag Polar'!$D$31)*SQRT(BH106))</f>
        <v>0.87224994908846476</v>
      </c>
      <c r="BK106" s="92"/>
      <c r="BL106" s="92"/>
      <c r="BM106" s="95">
        <f t="shared" si="17"/>
        <v>20.761030999525659</v>
      </c>
      <c r="BN106" s="96">
        <f t="shared" si="18"/>
        <v>6.1008526550062246E-2</v>
      </c>
      <c r="BO106" s="92">
        <f t="shared" si="19"/>
        <v>101589.24075567759</v>
      </c>
      <c r="BP106" s="96">
        <f>((BO106)/(101325))*(1-(0.43+0.014*'Drag Polar'!$D$31)*SQRT(BN106))</f>
        <v>0.87878626404189253</v>
      </c>
      <c r="BQ106" s="92"/>
      <c r="BR106" s="92"/>
      <c r="BS106" s="95">
        <f t="shared" si="0"/>
        <v>54.997561570593284</v>
      </c>
      <c r="BT106" s="96">
        <f t="shared" si="20"/>
        <v>0.17706939797431256</v>
      </c>
      <c r="BU106" s="92">
        <f t="shared" si="21"/>
        <v>40169.318873903845</v>
      </c>
      <c r="BV106" s="96">
        <f>((BU106)/(101325))*(1-(0.43+0.014*'Drag Polar'!$D$31)*SQRT(BT106))</f>
        <v>0.31303006714682269</v>
      </c>
      <c r="BW106" s="92"/>
      <c r="BX106" s="92"/>
      <c r="BY106" s="92"/>
    </row>
    <row r="107" spans="1:77">
      <c r="A107" s="15"/>
      <c r="B107" s="88">
        <v>700</v>
      </c>
      <c r="C107" s="89">
        <f t="shared" si="1"/>
        <v>5379.4075927863296</v>
      </c>
      <c r="D107" s="89">
        <f t="shared" si="2"/>
        <v>5788.633461047255</v>
      </c>
      <c r="E107" s="90"/>
      <c r="F107" s="90">
        <f>((TLAR!$B$21/AL107))*(SQRT(($D$47^2*(1.225*0.3345)*SQRT(Sheet1!$C$9))/((TLAR!$B$21*B107*2)))+2*SQRT(Sheet1!$C$10))</f>
        <v>0.4006626571268278</v>
      </c>
      <c r="G107" s="97">
        <f>((TLAR!$B$40)/(TLAR!$B$40-0))*(TLAR!$F$6/AR107)*((TLAR!$F$11*0.01)+2*SQRT(($D$64)/(PI()*'Drag Polar'!$D$6*$D$65)))</f>
        <v>0.17001623085428555</v>
      </c>
      <c r="H107" s="97">
        <f>((TLAR!$B$40)/(TLAR!$B$40-1))*(TLAR!$F$14/AX107)*((TLAR!$F$19*0.01)+2*SQRT(($E$64)/(PI()*'Drag Polar'!$D$6*$E$65)))</f>
        <v>0.23998102821810502</v>
      </c>
      <c r="I107" s="97">
        <f>((TLAR!$B$40)/(TLAR!$B$40-1))*(TLAR!$F$21/BD107)*((TLAR!$F$26*0.01)+2*SQRT(($F$64)/(PI()*'Drag Polar'!$D$6*$F$65)))</f>
        <v>0.25676493339131806</v>
      </c>
      <c r="J107" s="97">
        <f>((TLAR!$B$40)/(TLAR!$B$40-1))*(TLAR!$F$28/BJ107)*((TLAR!$F$33*0.01)+2*SQRT(($G$64)/(PI()*'Drag Polar'!$D$6*$G$65)))</f>
        <v>0.17106716562144408</v>
      </c>
      <c r="K107" s="97">
        <f>((TLAR!$B$40)/(TLAR!$B$40-1))*(TLAR!$F$35/BP107)*((TLAR!$F$40*0.01)+2*SQRT(($H$64)/(PI()*'Drag Polar'!$D$6*$H$65)))</f>
        <v>0.21341155476053225</v>
      </c>
      <c r="L107" s="15">
        <f>1.15*SQRT(((TLAR!$B$40)/(TLAR!$B$40-1))*((B107)/($D$73*0.85*1.225*9.81*PI()*'Drag Polar'!$E$42*'Drag Polar'!$D$6)))+((TLAR!$B$40)/(TLAR!$B$40-1))*((4*11)/($D$73))</f>
        <v>8.4860690240114639E-2</v>
      </c>
      <c r="M107" s="15"/>
      <c r="N107" s="15"/>
      <c r="O107" s="15"/>
      <c r="P107" s="15"/>
      <c r="Q107" s="15"/>
      <c r="R107" s="15"/>
      <c r="S107" s="15"/>
      <c r="T107" s="15"/>
      <c r="U107" s="15"/>
      <c r="V107" s="15"/>
      <c r="W107" s="15"/>
      <c r="X107" s="15"/>
      <c r="Y107" s="15"/>
      <c r="Z107" s="15"/>
      <c r="AA107" s="15"/>
      <c r="AB107" s="15"/>
      <c r="AC107" s="15"/>
      <c r="AD107" s="15"/>
      <c r="AI107" s="95">
        <f t="shared" si="22"/>
        <v>59.404155930622672</v>
      </c>
      <c r="AJ107" s="96">
        <f t="shared" si="3"/>
        <v>0.19125680898245095</v>
      </c>
      <c r="AK107" s="92">
        <f t="shared" si="4"/>
        <v>40315.528914684342</v>
      </c>
      <c r="AL107" s="96">
        <f>((AK107)/(101325))*(1-(0.43+0.014*'Drag Polar'!$D$31)*SQRT(AJ107))</f>
        <v>0.31088033926551689</v>
      </c>
      <c r="AN107" s="92"/>
      <c r="AO107" s="95">
        <f t="shared" si="5"/>
        <v>22.424476423255523</v>
      </c>
      <c r="AP107" s="96">
        <f t="shared" si="6"/>
        <v>6.5896740160480805E-2</v>
      </c>
      <c r="AQ107" s="92">
        <f t="shared" si="7"/>
        <v>101633.32868543148</v>
      </c>
      <c r="AR107" s="96">
        <f>((AQ107)/(101325))*(1-(0.43+0.014*'Drag Polar'!$D$31)*SQRT(AP107))</f>
        <v>0.87430059531073012</v>
      </c>
      <c r="AS107" s="92"/>
      <c r="AT107" s="92"/>
      <c r="AU107" s="95">
        <f t="shared" si="8"/>
        <v>25.071326821120348</v>
      </c>
      <c r="AV107" s="96">
        <f t="shared" si="9"/>
        <v>7.3674795247237745E-2</v>
      </c>
      <c r="AW107" s="92">
        <f t="shared" si="10"/>
        <v>101710.51544544945</v>
      </c>
      <c r="AX107" s="96">
        <f>((AW107)/(101325))*(1-(0.43+0.014*'Drag Polar'!$D$31)*SQRT(AV107))</f>
        <v>0.86757287229412861</v>
      </c>
      <c r="AY107" s="92"/>
      <c r="AZ107" s="92"/>
      <c r="BA107" s="95">
        <f t="shared" si="11"/>
        <v>25.071326821120348</v>
      </c>
      <c r="BB107" s="96">
        <f t="shared" si="12"/>
        <v>7.3674795247237745E-2</v>
      </c>
      <c r="BC107" s="92">
        <f t="shared" si="13"/>
        <v>101710.51544544945</v>
      </c>
      <c r="BD107" s="96">
        <f>((BC107)/(101325))*(1-(0.43+0.014*'Drag Polar'!$D$31)*SQRT(BB107))</f>
        <v>0.86757287229412861</v>
      </c>
      <c r="BE107" s="92"/>
      <c r="BF107" s="92"/>
      <c r="BG107" s="95">
        <f t="shared" si="14"/>
        <v>25.071326821120348</v>
      </c>
      <c r="BH107" s="96">
        <f t="shared" si="15"/>
        <v>7.3674795247237745E-2</v>
      </c>
      <c r="BI107" s="92">
        <f t="shared" si="16"/>
        <v>101710.51544544945</v>
      </c>
      <c r="BJ107" s="96">
        <f>((BI107)/(101325))*(1-(0.43+0.014*'Drag Polar'!$D$31)*SQRT(BH107))</f>
        <v>0.86757287229412861</v>
      </c>
      <c r="BK107" s="92"/>
      <c r="BL107" s="92"/>
      <c r="BM107" s="95">
        <f t="shared" si="17"/>
        <v>22.424476423255523</v>
      </c>
      <c r="BN107" s="96">
        <f t="shared" si="18"/>
        <v>6.5896740160480805E-2</v>
      </c>
      <c r="BO107" s="92">
        <f t="shared" si="19"/>
        <v>101633.32868543148</v>
      </c>
      <c r="BP107" s="96">
        <f>((BO107)/(101325))*(1-(0.43+0.014*'Drag Polar'!$D$31)*SQRT(BN107))</f>
        <v>0.87430059531073012</v>
      </c>
      <c r="BQ107" s="92"/>
      <c r="BR107" s="92"/>
      <c r="BS107" s="95">
        <f t="shared" si="0"/>
        <v>59.404155930622672</v>
      </c>
      <c r="BT107" s="96">
        <f t="shared" si="20"/>
        <v>0.19125680898245095</v>
      </c>
      <c r="BU107" s="92">
        <f t="shared" si="21"/>
        <v>40315.528914684342</v>
      </c>
      <c r="BV107" s="96">
        <f>((BU107)/(101325))*(1-(0.43+0.014*'Drag Polar'!$D$31)*SQRT(BT107))</f>
        <v>0.31088033926551689</v>
      </c>
      <c r="BW107" s="92"/>
      <c r="BX107" s="92"/>
      <c r="BY107" s="92"/>
    </row>
    <row r="108" spans="1:77">
      <c r="A108" s="15"/>
      <c r="B108" s="88">
        <v>800</v>
      </c>
      <c r="C108" s="89">
        <f t="shared" si="1"/>
        <v>5379.4075927863296</v>
      </c>
      <c r="D108" s="89">
        <f t="shared" si="2"/>
        <v>5788.633461047255</v>
      </c>
      <c r="E108" s="90">
        <f>(TLAR!$B$21/$AN$96)*(('Drag Polar'!$D$39*0.5*(1.225*0.3345)*Sheet1!$C$5^2)/(TLAR!$B$21*B108)+(TLAR!$B$21*B108)/('Drag Polar'!$D$26*PI()*'Drag Polar'!$D$6*0.5*(1.225*0.3345)*Sheet1!$C$5^2))</f>
        <v>1.5710624330417944</v>
      </c>
      <c r="F108" s="90">
        <f>((TLAR!$B$21/AL108))*(SQRT(($D$47^2*(1.225*0.3345)*SQRT(Sheet1!$C$9))/((TLAR!$B$21*B108*2)))+2*SQRT(Sheet1!$C$10))</f>
        <v>0.38935961544701536</v>
      </c>
      <c r="G108" s="97">
        <f>((TLAR!$B$40)/(TLAR!$B$40-0))*(TLAR!$F$6/AR108)*((TLAR!$F$11*0.01)+2*SQRT(($D$64)/(PI()*'Drag Polar'!$D$6*$D$65)))</f>
        <v>0.17079623967597829</v>
      </c>
      <c r="H108" s="97">
        <f>((TLAR!$B$40)/(TLAR!$B$40-1))*(TLAR!$F$14/AX108)*((TLAR!$F$19*0.01)+2*SQRT(($E$64)/(PI()*'Drag Polar'!$D$6*$E$65)))</f>
        <v>0.24113632303327023</v>
      </c>
      <c r="I108" s="97">
        <f>((TLAR!$B$40)/(TLAR!$B$40-1))*(TLAR!$F$21/BD108)*((TLAR!$F$26*0.01)+2*SQRT(($F$64)/(PI()*'Drag Polar'!$D$6*$F$65)))</f>
        <v>0.25800102775455097</v>
      </c>
      <c r="J108" s="97">
        <f>((TLAR!$B$40)/(TLAR!$B$40-1))*(TLAR!$F$28/BJ108)*((TLAR!$F$33*0.01)+2*SQRT(($G$64)/(PI()*'Drag Polar'!$D$6*$G$65)))</f>
        <v>0.17189070159407874</v>
      </c>
      <c r="K108" s="97">
        <f>((TLAR!$B$40)/(TLAR!$B$40-1))*(TLAR!$F$35/BP108)*((TLAR!$F$40*0.01)+2*SQRT(($H$64)/(PI()*'Drag Polar'!$D$6*$H$65)))</f>
        <v>0.21439065478250044</v>
      </c>
      <c r="L108" s="15">
        <f>1.15*SQRT(((TLAR!$B$40)/(TLAR!$B$40-1))*((B108)/($D$73*0.85*1.225*9.81*PI()*'Drag Polar'!$E$42*'Drag Polar'!$D$6)))+((TLAR!$B$40)/(TLAR!$B$40-1))*((4*11)/($D$73))</f>
        <v>8.8452745660991761E-2</v>
      </c>
      <c r="M108" s="15"/>
      <c r="N108" s="15"/>
      <c r="O108" s="15"/>
      <c r="P108" s="15"/>
      <c r="Q108" s="15"/>
      <c r="R108" s="15"/>
      <c r="S108" s="15"/>
      <c r="T108" s="15"/>
      <c r="U108" s="15"/>
      <c r="V108" s="15"/>
      <c r="W108" s="15"/>
      <c r="X108" s="15"/>
      <c r="Y108" s="15"/>
      <c r="Z108" s="15"/>
      <c r="AA108" s="15"/>
      <c r="AB108" s="15"/>
      <c r="AC108" s="15"/>
      <c r="AD108" s="15"/>
      <c r="AI108" s="95">
        <f t="shared" si="22"/>
        <v>63.505713955110096</v>
      </c>
      <c r="AJ108" s="96">
        <f t="shared" si="3"/>
        <v>0.20446212917142864</v>
      </c>
      <c r="AK108" s="92">
        <f t="shared" si="4"/>
        <v>40462.118690490119</v>
      </c>
      <c r="AL108" s="96">
        <f>((AK108)/(101325))*(1-(0.43+0.014*'Drag Polar'!$D$31)*SQRT(AJ108))</f>
        <v>0.30904655021618282</v>
      </c>
      <c r="AN108" s="92"/>
      <c r="AO108" s="95">
        <f t="shared" si="5"/>
        <v>23.972773672460605</v>
      </c>
      <c r="AP108" s="96">
        <f t="shared" si="6"/>
        <v>7.0446578453081735E-2</v>
      </c>
      <c r="AQ108" s="92">
        <f t="shared" si="7"/>
        <v>101677.43028019117</v>
      </c>
      <c r="AR108" s="96">
        <f>((AQ108)/(101325))*(1-(0.43+0.014*'Drag Polar'!$D$31)*SQRT(AP108))</f>
        <v>0.87030775461091525</v>
      </c>
      <c r="AS108" s="92"/>
      <c r="AT108" s="92"/>
      <c r="AU108" s="95">
        <f t="shared" si="8"/>
        <v>26.802375770419594</v>
      </c>
      <c r="AV108" s="96">
        <f t="shared" si="9"/>
        <v>7.8761669101681364E-2</v>
      </c>
      <c r="AW108" s="92">
        <f t="shared" si="10"/>
        <v>101765.67447489158</v>
      </c>
      <c r="AX108" s="96">
        <f>((AW108)/(101325))*(1-(0.43+0.014*'Drag Polar'!$D$31)*SQRT(AV108))</f>
        <v>0.86341629219648364</v>
      </c>
      <c r="AY108" s="92"/>
      <c r="AZ108" s="92"/>
      <c r="BA108" s="95">
        <f t="shared" si="11"/>
        <v>26.802375770419594</v>
      </c>
      <c r="BB108" s="96">
        <f t="shared" si="12"/>
        <v>7.8761669101681364E-2</v>
      </c>
      <c r="BC108" s="92">
        <f t="shared" si="13"/>
        <v>101765.67447489158</v>
      </c>
      <c r="BD108" s="96">
        <f>((BC108)/(101325))*(1-(0.43+0.014*'Drag Polar'!$D$31)*SQRT(BB108))</f>
        <v>0.86341629219648364</v>
      </c>
      <c r="BE108" s="92"/>
      <c r="BF108" s="92"/>
      <c r="BG108" s="95">
        <f t="shared" si="14"/>
        <v>26.802375770419594</v>
      </c>
      <c r="BH108" s="96">
        <f t="shared" si="15"/>
        <v>7.8761669101681364E-2</v>
      </c>
      <c r="BI108" s="92">
        <f t="shared" si="16"/>
        <v>101765.67447489158</v>
      </c>
      <c r="BJ108" s="96">
        <f>((BI108)/(101325))*(1-(0.43+0.014*'Drag Polar'!$D$31)*SQRT(BH108))</f>
        <v>0.86341629219648364</v>
      </c>
      <c r="BK108" s="92"/>
      <c r="BL108" s="92"/>
      <c r="BM108" s="95">
        <f t="shared" si="17"/>
        <v>23.972773672460605</v>
      </c>
      <c r="BN108" s="96">
        <f t="shared" si="18"/>
        <v>7.0446578453081735E-2</v>
      </c>
      <c r="BO108" s="92">
        <f t="shared" si="19"/>
        <v>101677.43028019117</v>
      </c>
      <c r="BP108" s="96">
        <f>((BO108)/(101325))*(1-(0.43+0.014*'Drag Polar'!$D$31)*SQRT(BN108))</f>
        <v>0.87030775461091525</v>
      </c>
      <c r="BQ108" s="92"/>
      <c r="BR108" s="92"/>
      <c r="BS108" s="95">
        <f t="shared" si="0"/>
        <v>63.505713955110096</v>
      </c>
      <c r="BT108" s="96">
        <f t="shared" si="20"/>
        <v>0.20446212917142864</v>
      </c>
      <c r="BU108" s="92">
        <f t="shared" si="21"/>
        <v>40462.118690490119</v>
      </c>
      <c r="BV108" s="96">
        <f>((BU108)/(101325))*(1-(0.43+0.014*'Drag Polar'!$D$31)*SQRT(BT108))</f>
        <v>0.30904655021618282</v>
      </c>
      <c r="BW108" s="92"/>
      <c r="BX108" s="92"/>
      <c r="BY108" s="92"/>
    </row>
    <row r="109" spans="1:77">
      <c r="A109" s="15"/>
      <c r="B109" s="88">
        <v>900</v>
      </c>
      <c r="C109" s="89">
        <f t="shared" si="1"/>
        <v>5379.4075927863296</v>
      </c>
      <c r="D109" s="89">
        <f t="shared" si="2"/>
        <v>5788.633461047255</v>
      </c>
      <c r="E109" s="90">
        <f>(TLAR!$B$21/$AN$96)*(('Drag Polar'!$D$39*0.5*(1.225*0.3345)*Sheet1!$C$5^2)/(TLAR!$B$21*B109)+(TLAR!$B$21*B109)/('Drag Polar'!$D$26*PI()*'Drag Polar'!$D$6*0.5*(1.225*0.3345)*Sheet1!$C$5^2))</f>
        <v>1.3993654182689945</v>
      </c>
      <c r="F109" s="90">
        <f>((TLAR!$B$21/AL109))*(SQRT(($D$47^2*(1.225*0.3345)*SQRT(Sheet1!$C$9))/((TLAR!$B$21*B109*2)))+2*SQRT(Sheet1!$C$10))</f>
        <v>0.3799769791867546</v>
      </c>
      <c r="G109" s="97">
        <f>((TLAR!$B$40)/(TLAR!$B$40-0))*(TLAR!$F$6/AR109)*((TLAR!$F$11*0.01)+2*SQRT(($D$64)/(PI()*'Drag Polar'!$D$6*$D$65)))</f>
        <v>0.17150640569204192</v>
      </c>
      <c r="H109" s="97">
        <f>((TLAR!$B$40)/(TLAR!$B$40-1))*(TLAR!$F$14/AX109)*((TLAR!$F$19*0.01)+2*SQRT(($E$64)/(PI()*'Drag Polar'!$D$6*$E$65)))</f>
        <v>0.24218698343218054</v>
      </c>
      <c r="I109" s="97">
        <f>((TLAR!$B$40)/(TLAR!$B$40-1))*(TLAR!$F$21/BD109)*((TLAR!$F$26*0.01)+2*SQRT(($F$64)/(PI()*'Drag Polar'!$D$6*$F$65)))</f>
        <v>0.25912516973088218</v>
      </c>
      <c r="J109" s="97">
        <f>((TLAR!$B$40)/(TLAR!$B$40-1))*(TLAR!$F$28/BJ109)*((TLAR!$F$33*0.01)+2*SQRT(($G$64)/(PI()*'Drag Polar'!$D$6*$G$65)))</f>
        <v>0.17263965036643306</v>
      </c>
      <c r="K109" s="97">
        <f>((TLAR!$B$40)/(TLAR!$B$40-1))*(TLAR!$F$35/BP109)*((TLAR!$F$40*0.01)+2*SQRT(($H$64)/(PI()*'Drag Polar'!$D$6*$H$65)))</f>
        <v>0.21528208516455688</v>
      </c>
      <c r="L109" s="15">
        <f>1.15*SQRT(((TLAR!$B$40)/(TLAR!$B$40-1))*((B109)/($D$73*0.85*1.225*9.81*PI()*'Drag Polar'!$E$42*'Drag Polar'!$D$6)))+((TLAR!$B$40)/(TLAR!$B$40-1))*((4*11)/($D$73))</f>
        <v>9.1826477871130519E-2</v>
      </c>
      <c r="M109" s="15"/>
      <c r="N109" s="15"/>
      <c r="O109" s="15"/>
      <c r="P109" s="15"/>
      <c r="Q109" s="15"/>
      <c r="R109" s="15"/>
      <c r="S109" s="15"/>
      <c r="T109" s="15"/>
      <c r="U109" s="15"/>
      <c r="V109" s="15"/>
      <c r="W109" s="15"/>
      <c r="X109" s="15"/>
      <c r="Y109" s="15"/>
      <c r="Z109" s="15"/>
      <c r="AA109" s="15"/>
      <c r="AB109" s="15"/>
      <c r="AC109" s="15"/>
      <c r="AD109" s="15"/>
      <c r="AI109" s="95">
        <f t="shared" si="22"/>
        <v>67.357981472627273</v>
      </c>
      <c r="AJ109" s="96">
        <f t="shared" si="3"/>
        <v>0.21686483704943552</v>
      </c>
      <c r="AK109" s="92">
        <f t="shared" si="4"/>
        <v>40609.088792453433</v>
      </c>
      <c r="AL109" s="96">
        <f>((AK109)/(101325))*(1-(0.43+0.014*'Drag Polar'!$D$31)*SQRT(AJ109))</f>
        <v>0.30746130278974237</v>
      </c>
      <c r="AN109" s="92"/>
      <c r="AO109" s="95">
        <f t="shared" si="5"/>
        <v>25.426966241470843</v>
      </c>
      <c r="AP109" s="96">
        <f t="shared" si="6"/>
        <v>7.4719880003346326E-2</v>
      </c>
      <c r="AQ109" s="92">
        <f t="shared" si="7"/>
        <v>101721.54554249745</v>
      </c>
      <c r="AR109" s="96">
        <f>((AQ109)/(101325))*(1-(0.43+0.014*'Drag Polar'!$D$31)*SQRT(AP109))</f>
        <v>0.86670402337797736</v>
      </c>
      <c r="AS109" s="92"/>
      <c r="AT109" s="92"/>
      <c r="AU109" s="95">
        <f t="shared" si="8"/>
        <v>28.428212488760568</v>
      </c>
      <c r="AV109" s="96">
        <f t="shared" si="9"/>
        <v>8.35393654790548E-2</v>
      </c>
      <c r="AW109" s="92">
        <f t="shared" si="10"/>
        <v>101820.85486781655</v>
      </c>
      <c r="AX109" s="96">
        <f>((AW109)/(101325))*(1-(0.43+0.014*'Drag Polar'!$D$31)*SQRT(AV109))</f>
        <v>0.85967060242765736</v>
      </c>
      <c r="AY109" s="92"/>
      <c r="AZ109" s="92"/>
      <c r="BA109" s="95">
        <f t="shared" si="11"/>
        <v>28.428212488760568</v>
      </c>
      <c r="BB109" s="96">
        <f t="shared" si="12"/>
        <v>8.35393654790548E-2</v>
      </c>
      <c r="BC109" s="92">
        <f t="shared" si="13"/>
        <v>101820.85486781655</v>
      </c>
      <c r="BD109" s="96">
        <f>((BC109)/(101325))*(1-(0.43+0.014*'Drag Polar'!$D$31)*SQRT(BB109))</f>
        <v>0.85967060242765736</v>
      </c>
      <c r="BE109" s="92"/>
      <c r="BF109" s="92"/>
      <c r="BG109" s="95">
        <f t="shared" si="14"/>
        <v>28.428212488760568</v>
      </c>
      <c r="BH109" s="96">
        <f t="shared" si="15"/>
        <v>8.35393654790548E-2</v>
      </c>
      <c r="BI109" s="92">
        <f t="shared" si="16"/>
        <v>101820.85486781655</v>
      </c>
      <c r="BJ109" s="96">
        <f>((BI109)/(101325))*(1-(0.43+0.014*'Drag Polar'!$D$31)*SQRT(BH109))</f>
        <v>0.85967060242765736</v>
      </c>
      <c r="BK109" s="92"/>
      <c r="BL109" s="92"/>
      <c r="BM109" s="95">
        <f t="shared" si="17"/>
        <v>25.426966241470843</v>
      </c>
      <c r="BN109" s="96">
        <f t="shared" si="18"/>
        <v>7.4719880003346326E-2</v>
      </c>
      <c r="BO109" s="92">
        <f t="shared" si="19"/>
        <v>101721.54554249745</v>
      </c>
      <c r="BP109" s="96">
        <f>((BO109)/(101325))*(1-(0.43+0.014*'Drag Polar'!$D$31)*SQRT(BN109))</f>
        <v>0.86670402337797736</v>
      </c>
      <c r="BQ109" s="92"/>
      <c r="BR109" s="92"/>
      <c r="BS109" s="95">
        <f t="shared" si="0"/>
        <v>67.357981472627273</v>
      </c>
      <c r="BT109" s="96">
        <f t="shared" si="20"/>
        <v>0.21686483704943552</v>
      </c>
      <c r="BU109" s="92">
        <f t="shared" si="21"/>
        <v>40609.088792453433</v>
      </c>
      <c r="BV109" s="96">
        <f>((BU109)/(101325))*(1-(0.43+0.014*'Drag Polar'!$D$31)*SQRT(BT109))</f>
        <v>0.30746130278974237</v>
      </c>
      <c r="BW109" s="92"/>
      <c r="BX109" s="92"/>
      <c r="BY109" s="92"/>
    </row>
    <row r="110" spans="1:77">
      <c r="A110" s="15"/>
      <c r="B110" s="88">
        <v>1000</v>
      </c>
      <c r="C110" s="89">
        <f t="shared" si="1"/>
        <v>5379.4075927863296</v>
      </c>
      <c r="D110" s="89">
        <f t="shared" si="2"/>
        <v>5788.633461047255</v>
      </c>
      <c r="E110" s="90">
        <f>(TLAR!$B$21/$AN$96)*(('Drag Polar'!$D$39*0.5*(1.225*0.3345)*Sheet1!$C$5^2)/(TLAR!$B$21*B110)+(TLAR!$B$21*B110)/('Drag Polar'!$D$26*PI()*'Drag Polar'!$D$6*0.5*(1.225*0.3345)*Sheet1!$C$5^2))</f>
        <v>1.2623112099811851</v>
      </c>
      <c r="F110" s="90">
        <f>((TLAR!$B$21/AL110))*(SQRT(($D$47^2*(1.225*0.3345)*SQRT(Sheet1!$C$9))/((TLAR!$B$21*B110*2)))+2*SQRT(Sheet1!$C$10))</f>
        <v>0.37201596903143896</v>
      </c>
      <c r="G110" s="97">
        <f>((TLAR!$B$40)/(TLAR!$B$40-0))*(TLAR!$F$6/AR110)*((TLAR!$F$11*0.01)+2*SQRT(($D$64)/(PI()*'Drag Polar'!$D$6*$D$65)))</f>
        <v>0.17215947068851681</v>
      </c>
      <c r="H110" s="97">
        <f>((TLAR!$B$40)/(TLAR!$B$40-1))*(TLAR!$F$14/AX110)*((TLAR!$F$19*0.01)+2*SQRT(($E$64)/(PI()*'Drag Polar'!$D$6*$E$65)))</f>
        <v>0.24315205974141013</v>
      </c>
      <c r="I110" s="97">
        <f>((TLAR!$B$40)/(TLAR!$B$40-1))*(TLAR!$F$21/BD110)*((TLAR!$F$26*0.01)+2*SQRT(($F$64)/(PI()*'Drag Polar'!$D$6*$F$65)))</f>
        <v>0.26015774199751845</v>
      </c>
      <c r="J110" s="97">
        <f>((TLAR!$B$40)/(TLAR!$B$40-1))*(TLAR!$F$28/BJ110)*((TLAR!$F$33*0.01)+2*SQRT(($G$64)/(PI()*'Drag Polar'!$D$6*$G$65)))</f>
        <v>0.17332759170102169</v>
      </c>
      <c r="K110" s="97">
        <f>((TLAR!$B$40)/(TLAR!$B$40-1))*(TLAR!$F$35/BP110)*((TLAR!$F$40*0.01)+2*SQRT(($H$64)/(PI()*'Drag Polar'!$D$6*$H$65)))</f>
        <v>0.21610183993477544</v>
      </c>
      <c r="L110" s="15">
        <f>1.15*SQRT(((TLAR!$B$40)/(TLAR!$B$40-1))*((B110)/($D$73*0.85*1.225*9.81*PI()*'Drag Polar'!$E$42*'Drag Polar'!$D$6)))+((TLAR!$B$40)/(TLAR!$B$40-1))*((4*11)/($D$73))</f>
        <v>9.5017433133062906E-2</v>
      </c>
      <c r="M110" s="15"/>
      <c r="N110" s="15"/>
      <c r="O110" s="15"/>
      <c r="P110" s="15"/>
      <c r="Q110" s="15"/>
      <c r="R110" s="15"/>
      <c r="S110" s="15"/>
      <c r="T110" s="15"/>
      <c r="U110" s="15"/>
      <c r="V110" s="15"/>
      <c r="W110" s="15"/>
      <c r="X110" s="15"/>
      <c r="Y110" s="15"/>
      <c r="Z110" s="15"/>
      <c r="AA110" s="15"/>
      <c r="AB110" s="15"/>
      <c r="AC110" s="15"/>
      <c r="AD110" s="15"/>
      <c r="AI110" s="95">
        <f t="shared" si="22"/>
        <v>71.001546681641599</v>
      </c>
      <c r="AJ110" s="96">
        <f t="shared" si="3"/>
        <v>0.22859560982582861</v>
      </c>
      <c r="AK110" s="92">
        <f t="shared" si="4"/>
        <v>40756.439812012788</v>
      </c>
      <c r="AL110" s="96">
        <f>((AK110)/(101325))*(1-(0.43+0.014*'Drag Polar'!$D$31)*SQRT(AJ110))</f>
        <v>0.30607719613019618</v>
      </c>
      <c r="AN110" s="92"/>
      <c r="AO110" s="95">
        <f t="shared" si="5"/>
        <v>26.802375770419598</v>
      </c>
      <c r="AP110" s="96">
        <f t="shared" si="6"/>
        <v>7.8761669101681364E-2</v>
      </c>
      <c r="AQ110" s="92">
        <f t="shared" si="7"/>
        <v>101765.67447489158</v>
      </c>
      <c r="AR110" s="96">
        <f>((AQ110)/(101325))*(1-(0.43+0.014*'Drag Polar'!$D$31)*SQRT(AP110))</f>
        <v>0.86341629219648364</v>
      </c>
      <c r="AS110" s="92"/>
      <c r="AT110" s="92"/>
      <c r="AU110" s="95">
        <f t="shared" si="8"/>
        <v>29.965967090575756</v>
      </c>
      <c r="AV110" s="96">
        <f t="shared" si="9"/>
        <v>8.8058223066352165E-2</v>
      </c>
      <c r="AW110" s="92">
        <f t="shared" si="10"/>
        <v>101876.05662918827</v>
      </c>
      <c r="AX110" s="96">
        <f>((AW110)/(101325))*(1-(0.43+0.014*'Drag Polar'!$D$31)*SQRT(AV110))</f>
        <v>0.85625854935672552</v>
      </c>
      <c r="AY110" s="92"/>
      <c r="AZ110" s="92"/>
      <c r="BA110" s="95">
        <f t="shared" si="11"/>
        <v>29.965967090575756</v>
      </c>
      <c r="BB110" s="96">
        <f t="shared" si="12"/>
        <v>8.8058223066352165E-2</v>
      </c>
      <c r="BC110" s="92">
        <f t="shared" si="13"/>
        <v>101876.05662918827</v>
      </c>
      <c r="BD110" s="96">
        <f>((BC110)/(101325))*(1-(0.43+0.014*'Drag Polar'!$D$31)*SQRT(BB110))</f>
        <v>0.85625854935672552</v>
      </c>
      <c r="BE110" s="92"/>
      <c r="BF110" s="92"/>
      <c r="BG110" s="95">
        <f t="shared" si="14"/>
        <v>29.965967090575756</v>
      </c>
      <c r="BH110" s="96">
        <f t="shared" si="15"/>
        <v>8.8058223066352165E-2</v>
      </c>
      <c r="BI110" s="92">
        <f t="shared" si="16"/>
        <v>101876.05662918827</v>
      </c>
      <c r="BJ110" s="96">
        <f>((BI110)/(101325))*(1-(0.43+0.014*'Drag Polar'!$D$31)*SQRT(BH110))</f>
        <v>0.85625854935672552</v>
      </c>
      <c r="BK110" s="92"/>
      <c r="BL110" s="92"/>
      <c r="BM110" s="95">
        <f t="shared" si="17"/>
        <v>26.802375770419598</v>
      </c>
      <c r="BN110" s="96">
        <f t="shared" si="18"/>
        <v>7.8761669101681364E-2</v>
      </c>
      <c r="BO110" s="92">
        <f t="shared" si="19"/>
        <v>101765.67447489158</v>
      </c>
      <c r="BP110" s="96">
        <f>((BO110)/(101325))*(1-(0.43+0.014*'Drag Polar'!$D$31)*SQRT(BN110))</f>
        <v>0.86341629219648364</v>
      </c>
      <c r="BQ110" s="92"/>
      <c r="BR110" s="92"/>
      <c r="BS110" s="95">
        <f t="shared" si="0"/>
        <v>71.001546681641599</v>
      </c>
      <c r="BT110" s="96">
        <f t="shared" si="20"/>
        <v>0.22859560982582861</v>
      </c>
      <c r="BU110" s="92">
        <f t="shared" si="21"/>
        <v>40756.439812012788</v>
      </c>
      <c r="BV110" s="96">
        <f>((BU110)/(101325))*(1-(0.43+0.014*'Drag Polar'!$D$31)*SQRT(BT110))</f>
        <v>0.30607719613019618</v>
      </c>
      <c r="BW110" s="92"/>
      <c r="BX110" s="92"/>
      <c r="BY110" s="92"/>
    </row>
    <row r="111" spans="1:77">
      <c r="A111" s="15"/>
      <c r="B111" s="88">
        <v>1100</v>
      </c>
      <c r="C111" s="89">
        <f t="shared" si="1"/>
        <v>5379.4075927863296</v>
      </c>
      <c r="D111" s="89">
        <f t="shared" si="2"/>
        <v>5788.633461047255</v>
      </c>
      <c r="E111" s="90">
        <f>(TLAR!$B$21/$AN$96)*(('Drag Polar'!$D$39*0.5*(1.225*0.3345)*Sheet1!$C$5^2)/(TLAR!$B$21*B111)+(TLAR!$B$21*B111)/('Drag Polar'!$D$26*PI()*'Drag Polar'!$D$6*0.5*(1.225*0.3345)*Sheet1!$C$5^2))</f>
        <v>1.1504517700460961</v>
      </c>
      <c r="F111" s="90">
        <f>((TLAR!$B$21/AL111))*(SQRT(($D$47^2*(1.225*0.3345)*SQRT(Sheet1!$C$9))/((TLAR!$B$21*B111*2)))+2*SQRT(Sheet1!$C$10))</f>
        <v>0.36514121945696754</v>
      </c>
      <c r="G111" s="97">
        <f>((TLAR!$B$40)/(TLAR!$B$40-0))*(TLAR!$F$6/AR111)*((TLAR!$F$11*0.01)+2*SQRT(($D$64)/(PI()*'Drag Polar'!$D$6*$D$65)))</f>
        <v>0.17276482908215743</v>
      </c>
      <c r="H111" s="97">
        <f>((TLAR!$B$40)/(TLAR!$B$40-1))*(TLAR!$F$14/AX111)*((TLAR!$F$19*0.01)+2*SQRT(($E$64)/(PI()*'Drag Polar'!$D$6*$E$65)))</f>
        <v>0.24404560226825212</v>
      </c>
      <c r="I111" s="97">
        <f>((TLAR!$B$40)/(TLAR!$B$40-1))*(TLAR!$F$21/BD111)*((TLAR!$F$26*0.01)+2*SQRT(($F$64)/(PI()*'Drag Polar'!$D$6*$F$65)))</f>
        <v>0.26111377751870302</v>
      </c>
      <c r="J111" s="97">
        <f>((TLAR!$B$40)/(TLAR!$B$40-1))*(TLAR!$F$28/BJ111)*((TLAR!$F$33*0.01)+2*SQRT(($G$64)/(PI()*'Drag Polar'!$D$6*$G$65)))</f>
        <v>0.17396454116558588</v>
      </c>
      <c r="K111" s="97">
        <f>((TLAR!$B$40)/(TLAR!$B$40-1))*(TLAR!$F$35/BP111)*((TLAR!$F$40*0.01)+2*SQRT(($H$64)/(PI()*'Drag Polar'!$D$6*$H$65)))</f>
        <v>0.21686171136190352</v>
      </c>
      <c r="L111" s="15">
        <f>1.15*SQRT(((TLAR!$B$40)/(TLAR!$B$40-1))*((B111)/($D$73*0.85*1.225*9.81*PI()*'Drag Polar'!$E$42*'Drag Polar'!$D$6)))+((TLAR!$B$40)/(TLAR!$B$40-1))*((4*11)/($D$73))</f>
        <v>9.8052446003740273E-2</v>
      </c>
      <c r="M111" s="15"/>
      <c r="N111" s="15"/>
      <c r="O111" s="15"/>
      <c r="P111" s="15"/>
      <c r="Q111" s="15"/>
      <c r="R111" s="15"/>
      <c r="S111" s="15"/>
      <c r="T111" s="15"/>
      <c r="U111" s="15"/>
      <c r="V111" s="15"/>
      <c r="W111" s="15"/>
      <c r="X111" s="15"/>
      <c r="Y111" s="15"/>
      <c r="Z111" s="15"/>
      <c r="AA111" s="15"/>
      <c r="AB111" s="15"/>
      <c r="AC111" s="15"/>
      <c r="AD111" s="15"/>
      <c r="AI111" s="95">
        <f t="shared" si="22"/>
        <v>74.46705039347178</v>
      </c>
      <c r="AJ111" s="96">
        <f t="shared" si="3"/>
        <v>0.2397530982381807</v>
      </c>
      <c r="AK111" s="92">
        <f t="shared" si="4"/>
        <v>40904.172340913123</v>
      </c>
      <c r="AL111" s="96">
        <f>((AK111)/(101325))*(1-(0.43+0.014*'Drag Polar'!$D$31)*SQRT(AJ111))</f>
        <v>0.30485953508184099</v>
      </c>
      <c r="AN111" s="92"/>
      <c r="AO111" s="95">
        <f t="shared" si="5"/>
        <v>28.110568859997354</v>
      </c>
      <c r="AP111" s="96">
        <f t="shared" si="6"/>
        <v>8.2605935450493051E-2</v>
      </c>
      <c r="AQ111" s="92">
        <f t="shared" si="7"/>
        <v>101809.81707991469</v>
      </c>
      <c r="AR111" s="96">
        <f>((AQ111)/(101325))*(1-(0.43+0.014*'Drag Polar'!$D$31)*SQRT(AP111))</f>
        <v>0.86039092932335715</v>
      </c>
      <c r="AS111" s="92"/>
      <c r="AT111" s="92"/>
      <c r="AU111" s="95">
        <f t="shared" si="8"/>
        <v>31.428571428571427</v>
      </c>
      <c r="AV111" s="96">
        <f t="shared" si="9"/>
        <v>9.2356243506131086E-2</v>
      </c>
      <c r="AW111" s="92">
        <f t="shared" si="10"/>
        <v>101931.27976397082</v>
      </c>
      <c r="AX111" s="96">
        <f>((AW111)/(101325))*(1-(0.43+0.014*'Drag Polar'!$D$31)*SQRT(AV111))</f>
        <v>0.85312346550063023</v>
      </c>
      <c r="AY111" s="92"/>
      <c r="AZ111" s="92"/>
      <c r="BA111" s="95">
        <f t="shared" si="11"/>
        <v>31.428571428571427</v>
      </c>
      <c r="BB111" s="96">
        <f t="shared" si="12"/>
        <v>9.2356243506131086E-2</v>
      </c>
      <c r="BC111" s="92">
        <f t="shared" si="13"/>
        <v>101931.27976397082</v>
      </c>
      <c r="BD111" s="96">
        <f>((BC111)/(101325))*(1-(0.43+0.014*'Drag Polar'!$D$31)*SQRT(BB111))</f>
        <v>0.85312346550063023</v>
      </c>
      <c r="BE111" s="92"/>
      <c r="BF111" s="92"/>
      <c r="BG111" s="95">
        <f t="shared" si="14"/>
        <v>31.428571428571427</v>
      </c>
      <c r="BH111" s="96">
        <f t="shared" si="15"/>
        <v>9.2356243506131086E-2</v>
      </c>
      <c r="BI111" s="92">
        <f t="shared" si="16"/>
        <v>101931.27976397082</v>
      </c>
      <c r="BJ111" s="96">
        <f>((BI111)/(101325))*(1-(0.43+0.014*'Drag Polar'!$D$31)*SQRT(BH111))</f>
        <v>0.85312346550063023</v>
      </c>
      <c r="BK111" s="92"/>
      <c r="BL111" s="92"/>
      <c r="BM111" s="95">
        <f t="shared" si="17"/>
        <v>28.110568859997354</v>
      </c>
      <c r="BN111" s="96">
        <f t="shared" si="18"/>
        <v>8.2605935450493051E-2</v>
      </c>
      <c r="BO111" s="92">
        <f t="shared" si="19"/>
        <v>101809.81707991469</v>
      </c>
      <c r="BP111" s="96">
        <f>((BO111)/(101325))*(1-(0.43+0.014*'Drag Polar'!$D$31)*SQRT(BN111))</f>
        <v>0.86039092932335715</v>
      </c>
      <c r="BQ111" s="92"/>
      <c r="BR111" s="92"/>
      <c r="BS111" s="95">
        <f t="shared" si="0"/>
        <v>74.46705039347178</v>
      </c>
      <c r="BT111" s="96">
        <f t="shared" si="20"/>
        <v>0.2397530982381807</v>
      </c>
      <c r="BU111" s="92">
        <f t="shared" si="21"/>
        <v>40904.172340913123</v>
      </c>
      <c r="BV111" s="96">
        <f>((BU111)/(101325))*(1-(0.43+0.014*'Drag Polar'!$D$31)*SQRT(BT111))</f>
        <v>0.30485953508184099</v>
      </c>
      <c r="BW111" s="92"/>
      <c r="BX111" s="92"/>
      <c r="BY111" s="92"/>
    </row>
    <row r="112" spans="1:77">
      <c r="A112" s="15"/>
      <c r="B112" s="88">
        <v>1200</v>
      </c>
      <c r="C112" s="89">
        <f t="shared" si="1"/>
        <v>5379.4075927863296</v>
      </c>
      <c r="D112" s="89">
        <f t="shared" si="2"/>
        <v>5788.633461047255</v>
      </c>
      <c r="E112" s="90">
        <f>(TLAR!$B$21/$AN$96)*(('Drag Polar'!$D$39*0.5*(1.225*0.3345)*Sheet1!$C$5^2)/(TLAR!$B$21*B112)+(TLAR!$B$21*B112)/('Drag Polar'!$D$26*PI()*'Drag Polar'!$D$6*0.5*(1.225*0.3345)*Sheet1!$C$5^2))</f>
        <v>1.0574884063755474</v>
      </c>
      <c r="F112" s="90">
        <f>((TLAR!$B$21/AL112))*(SQRT(($D$47^2*(1.225*0.3345)*SQRT(Sheet1!$C$9))/((TLAR!$B$21*B112*2)))+2*SQRT(Sheet1!$C$10))</f>
        <v>0.35911794022030369</v>
      </c>
      <c r="G112" s="97">
        <f>((TLAR!$B$40)/(TLAR!$B$40-0))*(TLAR!$F$6/AR112)*((TLAR!$F$11*0.01)+2*SQRT(($D$64)/(PI()*'Drag Polar'!$D$6*$D$65)))</f>
        <v>0.17332962744852443</v>
      </c>
      <c r="H112" s="97">
        <f>((TLAR!$B$40)/(TLAR!$B$40-1))*(TLAR!$F$14/AX112)*((TLAR!$F$19*0.01)+2*SQRT(($E$64)/(PI()*'Drag Polar'!$D$6*$E$65)))</f>
        <v>0.24487830277371175</v>
      </c>
      <c r="I112" s="97">
        <f>((TLAR!$B$40)/(TLAR!$B$40-1))*(TLAR!$F$21/BD112)*((TLAR!$F$26*0.01)+2*SQRT(($F$64)/(PI()*'Drag Polar'!$D$6*$F$65)))</f>
        <v>0.26200471582081303</v>
      </c>
      <c r="J112" s="97">
        <f>((TLAR!$B$40)/(TLAR!$B$40-1))*(TLAR!$F$28/BJ112)*((TLAR!$F$33*0.01)+2*SQRT(($G$64)/(PI()*'Drag Polar'!$D$6*$G$65)))</f>
        <v>0.17455812023447401</v>
      </c>
      <c r="K112" s="97">
        <f>((TLAR!$B$40)/(TLAR!$B$40-1))*(TLAR!$F$35/BP112)*((TLAR!$F$40*0.01)+2*SQRT(($H$64)/(PI()*'Drag Polar'!$D$6*$H$65)))</f>
        <v>0.21757067012946904</v>
      </c>
      <c r="L112" s="15">
        <f>1.15*SQRT(((TLAR!$B$40)/(TLAR!$B$40-1))*((B112)/($D$73*0.85*1.225*9.81*PI()*'Drag Polar'!$E$42*'Drag Polar'!$D$6)))+((TLAR!$B$40)/(TLAR!$B$40-1))*((4*11)/($D$73))</f>
        <v>0.10095236426460286</v>
      </c>
      <c r="M112" s="15"/>
      <c r="N112" s="15"/>
      <c r="O112" s="15"/>
      <c r="P112" s="15"/>
      <c r="Q112" s="15"/>
      <c r="R112" s="15"/>
      <c r="S112" s="15"/>
      <c r="T112" s="15"/>
      <c r="U112" s="15"/>
      <c r="V112" s="15"/>
      <c r="W112" s="15"/>
      <c r="X112" s="15"/>
      <c r="Y112" s="15"/>
      <c r="Z112" s="15"/>
      <c r="AA112" s="15"/>
      <c r="AB112" s="15"/>
      <c r="AC112" s="15"/>
      <c r="AD112" s="15"/>
      <c r="AI112" s="95">
        <f t="shared" si="22"/>
        <v>77.778297470582359</v>
      </c>
      <c r="AJ112" s="96">
        <f t="shared" si="3"/>
        <v>0.25041394409651185</v>
      </c>
      <c r="AK112" s="92">
        <f t="shared" si="4"/>
        <v>41052.286971205322</v>
      </c>
      <c r="AL112" s="96">
        <f>((AK112)/(101325))*(1-(0.43+0.014*'Drag Polar'!$D$31)*SQRT(AJ112))</f>
        <v>0.30378210773968922</v>
      </c>
      <c r="AN112" s="92"/>
      <c r="AO112" s="95">
        <f t="shared" si="5"/>
        <v>29.360531608377439</v>
      </c>
      <c r="AP112" s="96">
        <f t="shared" si="6"/>
        <v>8.6279085667497077E-2</v>
      </c>
      <c r="AQ112" s="92">
        <f t="shared" si="7"/>
        <v>101853.97336010836</v>
      </c>
      <c r="AR112" s="96">
        <f>((AQ112)/(101325))*(1-(0.43+0.014*'Drag Polar'!$D$31)*SQRT(AP112))</f>
        <v>0.85758732673981652</v>
      </c>
      <c r="AS112" s="92"/>
      <c r="AT112" s="92"/>
      <c r="AU112" s="95">
        <f t="shared" si="8"/>
        <v>32.826072265931593</v>
      </c>
      <c r="AV112" s="96">
        <f t="shared" si="9"/>
        <v>9.6462950294525646E-2</v>
      </c>
      <c r="AW112" s="92">
        <f t="shared" si="10"/>
        <v>101986.5242771287</v>
      </c>
      <c r="AX112" s="96">
        <f>((AW112)/(101325))*(1-(0.43+0.014*'Drag Polar'!$D$31)*SQRT(AV112))</f>
        <v>0.85022244759542887</v>
      </c>
      <c r="AY112" s="92"/>
      <c r="AZ112" s="92"/>
      <c r="BA112" s="95">
        <f t="shared" si="11"/>
        <v>32.826072265931593</v>
      </c>
      <c r="BB112" s="96">
        <f t="shared" si="12"/>
        <v>9.6462950294525646E-2</v>
      </c>
      <c r="BC112" s="92">
        <f t="shared" si="13"/>
        <v>101986.5242771287</v>
      </c>
      <c r="BD112" s="96">
        <f>((BC112)/(101325))*(1-(0.43+0.014*'Drag Polar'!$D$31)*SQRT(BB112))</f>
        <v>0.85022244759542887</v>
      </c>
      <c r="BE112" s="92"/>
      <c r="BF112" s="92"/>
      <c r="BG112" s="95">
        <f t="shared" si="14"/>
        <v>32.826072265931593</v>
      </c>
      <c r="BH112" s="96">
        <f t="shared" si="15"/>
        <v>9.6462950294525646E-2</v>
      </c>
      <c r="BI112" s="92">
        <f t="shared" si="16"/>
        <v>101986.5242771287</v>
      </c>
      <c r="BJ112" s="96">
        <f>((BI112)/(101325))*(1-(0.43+0.014*'Drag Polar'!$D$31)*SQRT(BH112))</f>
        <v>0.85022244759542887</v>
      </c>
      <c r="BK112" s="92"/>
      <c r="BL112" s="92"/>
      <c r="BM112" s="95">
        <f t="shared" si="17"/>
        <v>29.360531608377439</v>
      </c>
      <c r="BN112" s="96">
        <f t="shared" si="18"/>
        <v>8.6279085667497077E-2</v>
      </c>
      <c r="BO112" s="92">
        <f t="shared" si="19"/>
        <v>101853.97336010836</v>
      </c>
      <c r="BP112" s="96">
        <f>((BO112)/(101325))*(1-(0.43+0.014*'Drag Polar'!$D$31)*SQRT(BN112))</f>
        <v>0.85758732673981652</v>
      </c>
      <c r="BQ112" s="92"/>
      <c r="BR112" s="92"/>
      <c r="BS112" s="95">
        <f t="shared" si="0"/>
        <v>77.778297470582359</v>
      </c>
      <c r="BT112" s="96">
        <f t="shared" si="20"/>
        <v>0.25041394409651185</v>
      </c>
      <c r="BU112" s="92">
        <f t="shared" si="21"/>
        <v>41052.286971205322</v>
      </c>
      <c r="BV112" s="96">
        <f>((BU112)/(101325))*(1-(0.43+0.014*'Drag Polar'!$D$31)*SQRT(BT112))</f>
        <v>0.30378210773968922</v>
      </c>
      <c r="BW112" s="92"/>
      <c r="BX112" s="92"/>
      <c r="BY112" s="92"/>
    </row>
    <row r="113" spans="1:77">
      <c r="A113" s="15"/>
      <c r="B113" s="88">
        <v>1300</v>
      </c>
      <c r="C113" s="89">
        <f t="shared" si="1"/>
        <v>5379.4075927863296</v>
      </c>
      <c r="D113" s="89">
        <f t="shared" si="2"/>
        <v>5788.633461047255</v>
      </c>
      <c r="E113" s="90">
        <f>(TLAR!$B$21/$AN$96)*(('Drag Polar'!$D$39*0.5*(1.225*0.3345)*Sheet1!$C$5^2)/(TLAR!$B$21*B113)+(TLAR!$B$21*B113)/('Drag Polar'!$D$26*PI()*'Drag Polar'!$D$6*0.5*(1.225*0.3345)*Sheet1!$C$5^2))</f>
        <v>0.97906048598541429</v>
      </c>
      <c r="F113" s="90">
        <f>((TLAR!$B$21/AL113))*(SQRT(($D$47^2*(1.225*0.3345)*SQRT(Sheet1!$C$9))/((TLAR!$B$21*B113*2)))+2*SQRT(Sheet1!$C$10))</f>
        <v>0.35377627136983136</v>
      </c>
      <c r="G113" s="97">
        <f>((TLAR!$B$40)/(TLAR!$B$40-0))*(TLAR!$F$6/AR113)*((TLAR!$F$11*0.01)+2*SQRT(($D$64)/(PI()*'Drag Polar'!$D$6*$D$65)))</f>
        <v>0.17385944239336565</v>
      </c>
      <c r="H113" s="97">
        <f>((TLAR!$B$40)/(TLAR!$B$40-1))*(TLAR!$F$14/AX113)*((TLAR!$F$19*0.01)+2*SQRT(($E$64)/(PI()*'Drag Polar'!$D$6*$E$65)))</f>
        <v>0.24565850669912212</v>
      </c>
      <c r="I113" s="97">
        <f>((TLAR!$B$40)/(TLAR!$B$40-1))*(TLAR!$F$21/BD113)*((TLAR!$F$26*0.01)+2*SQRT(($F$64)/(PI()*'Drag Polar'!$D$6*$F$65)))</f>
        <v>0.26283948601255319</v>
      </c>
      <c r="J113" s="97">
        <f>((TLAR!$B$40)/(TLAR!$B$40-1))*(TLAR!$F$28/BJ113)*((TLAR!$F$33*0.01)+2*SQRT(($G$64)/(PI()*'Drag Polar'!$D$6*$G$65)))</f>
        <v>0.17511427784042183</v>
      </c>
      <c r="K113" s="97">
        <f>((TLAR!$B$40)/(TLAR!$B$40-1))*(TLAR!$F$35/BP113)*((TLAR!$F$40*0.01)+2*SQRT(($H$64)/(PI()*'Drag Polar'!$D$6*$H$65)))</f>
        <v>0.2182357162285726</v>
      </c>
      <c r="L113" s="15">
        <f>1.15*SQRT(((TLAR!$B$40)/(TLAR!$B$40-1))*((B113)/($D$73*0.85*1.225*9.81*PI()*'Drag Polar'!$E$42*'Drag Polar'!$D$6)))+((TLAR!$B$40)/(TLAR!$B$40-1))*((4*11)/($D$73))</f>
        <v>0.10373376706180992</v>
      </c>
      <c r="M113" s="15"/>
      <c r="N113" s="15"/>
      <c r="O113" s="15"/>
      <c r="P113" s="15"/>
      <c r="Q113" s="15"/>
      <c r="R113" s="15"/>
      <c r="S113" s="15"/>
      <c r="T113" s="15"/>
      <c r="U113" s="15"/>
      <c r="V113" s="15"/>
      <c r="W113" s="15"/>
      <c r="X113" s="15"/>
      <c r="Y113" s="15"/>
      <c r="Z113" s="15"/>
      <c r="AA113" s="15"/>
      <c r="AB113" s="15"/>
      <c r="AC113" s="15"/>
      <c r="AD113" s="15"/>
      <c r="AI113" s="95">
        <f t="shared" si="22"/>
        <v>80.954218670437001</v>
      </c>
      <c r="AJ113" s="96">
        <f t="shared" si="3"/>
        <v>0.26063909660896079</v>
      </c>
      <c r="AK113" s="92">
        <f t="shared" si="4"/>
        <v>41200.784295246354</v>
      </c>
      <c r="AL113" s="96">
        <f>((AK113)/(101325))*(1-(0.43+0.014*'Drag Polar'!$D$31)*SQRT(AJ113))</f>
        <v>0.30282459502727838</v>
      </c>
      <c r="AN113" s="92"/>
      <c r="AO113" s="95">
        <f t="shared" si="5"/>
        <v>30.559410187705002</v>
      </c>
      <c r="AP113" s="96">
        <f t="shared" si="6"/>
        <v>8.9802119549527201E-2</v>
      </c>
      <c r="AQ113" s="92">
        <f t="shared" si="7"/>
        <v>101898.143318014</v>
      </c>
      <c r="AR113" s="96">
        <f>((AQ113)/(101325))*(1-(0.43+0.014*'Drag Polar'!$D$31)*SQRT(AP113))</f>
        <v>0.85497393642889419</v>
      </c>
      <c r="AS113" s="92"/>
      <c r="AT113" s="92"/>
      <c r="AU113" s="95">
        <f t="shared" si="8"/>
        <v>34.16645926600399</v>
      </c>
      <c r="AV113" s="96">
        <f t="shared" si="9"/>
        <v>0.10040182191815279</v>
      </c>
      <c r="AW113" s="92">
        <f t="shared" si="10"/>
        <v>102041.7901736269</v>
      </c>
      <c r="AX113" s="96">
        <f>((AW113)/(101325))*(1-(0.43+0.014*'Drag Polar'!$D$31)*SQRT(AV113))</f>
        <v>0.84752216703116412</v>
      </c>
      <c r="AY113" s="92"/>
      <c r="AZ113" s="92"/>
      <c r="BA113" s="95">
        <f t="shared" si="11"/>
        <v>34.16645926600399</v>
      </c>
      <c r="BB113" s="96">
        <f t="shared" si="12"/>
        <v>0.10040182191815279</v>
      </c>
      <c r="BC113" s="92">
        <f t="shared" si="13"/>
        <v>102041.7901736269</v>
      </c>
      <c r="BD113" s="96">
        <f>((BC113)/(101325))*(1-(0.43+0.014*'Drag Polar'!$D$31)*SQRT(BB113))</f>
        <v>0.84752216703116412</v>
      </c>
      <c r="BE113" s="92"/>
      <c r="BF113" s="92"/>
      <c r="BG113" s="95">
        <f t="shared" si="14"/>
        <v>34.16645926600399</v>
      </c>
      <c r="BH113" s="96">
        <f t="shared" si="15"/>
        <v>0.10040182191815279</v>
      </c>
      <c r="BI113" s="92">
        <f t="shared" si="16"/>
        <v>102041.7901736269</v>
      </c>
      <c r="BJ113" s="96">
        <f>((BI113)/(101325))*(1-(0.43+0.014*'Drag Polar'!$D$31)*SQRT(BH113))</f>
        <v>0.84752216703116412</v>
      </c>
      <c r="BK113" s="92"/>
      <c r="BL113" s="92"/>
      <c r="BM113" s="95">
        <f t="shared" si="17"/>
        <v>30.559410187705002</v>
      </c>
      <c r="BN113" s="96">
        <f t="shared" si="18"/>
        <v>8.9802119549527201E-2</v>
      </c>
      <c r="BO113" s="92">
        <f t="shared" si="19"/>
        <v>101898.143318014</v>
      </c>
      <c r="BP113" s="96">
        <f>((BO113)/(101325))*(1-(0.43+0.014*'Drag Polar'!$D$31)*SQRT(BN113))</f>
        <v>0.85497393642889419</v>
      </c>
      <c r="BQ113" s="92"/>
      <c r="BR113" s="92"/>
      <c r="BS113" s="95">
        <f t="shared" si="0"/>
        <v>80.954218670437001</v>
      </c>
      <c r="BT113" s="96">
        <f t="shared" si="20"/>
        <v>0.26063909660896079</v>
      </c>
      <c r="BU113" s="92">
        <f t="shared" si="21"/>
        <v>41200.784295246354</v>
      </c>
      <c r="BV113" s="96">
        <f>((BU113)/(101325))*(1-(0.43+0.014*'Drag Polar'!$D$31)*SQRT(BT113))</f>
        <v>0.30282459502727838</v>
      </c>
      <c r="BW113" s="92"/>
      <c r="BX113" s="92"/>
      <c r="BY113" s="92"/>
    </row>
    <row r="114" spans="1:77">
      <c r="A114" s="15"/>
      <c r="B114" s="88">
        <v>1400</v>
      </c>
      <c r="C114" s="89">
        <f t="shared" si="1"/>
        <v>5379.4075927863296</v>
      </c>
      <c r="D114" s="89">
        <f t="shared" si="2"/>
        <v>5788.633461047255</v>
      </c>
      <c r="E114" s="90">
        <f>(TLAR!$B$21/$AN$96)*(('Drag Polar'!$D$39*0.5*(1.225*0.3345)*Sheet1!$C$5^2)/(TLAR!$B$21*B114)+(TLAR!$B$21*B114)/('Drag Polar'!$D$26*PI()*'Drag Polar'!$D$6*0.5*(1.225*0.3345)*Sheet1!$C$5^2))</f>
        <v>0.91205327102989342</v>
      </c>
      <c r="F114" s="90">
        <f>((TLAR!$B$21/AL114))*(SQRT(($D$47^2*(1.225*0.3345)*SQRT(Sheet1!$C$9))/((TLAR!$B$21*B114*2)))+2*SQRT(Sheet1!$C$10))</f>
        <v>0.34898994074551909</v>
      </c>
      <c r="G114" s="97">
        <f>((TLAR!$B$40)/(TLAR!$B$40-0))*(TLAR!$F$6/AR114)*((TLAR!$F$11*0.01)+2*SQRT(($D$64)/(PI()*'Drag Polar'!$D$6*$D$65)))</f>
        <v>0.17435871817049181</v>
      </c>
      <c r="H114" s="97">
        <f>((TLAR!$B$40)/(TLAR!$B$40-1))*(TLAR!$F$14/AX114)*((TLAR!$F$19*0.01)+2*SQRT(($E$64)/(PI()*'Drag Polar'!$D$6*$E$65)))</f>
        <v>0.24639286678090899</v>
      </c>
      <c r="I114" s="97">
        <f>((TLAR!$B$40)/(TLAR!$B$40-1))*(TLAR!$F$21/BD114)*((TLAR!$F$26*0.01)+2*SQRT(($F$64)/(PI()*'Drag Polar'!$D$6*$F$65)))</f>
        <v>0.26362520611253498</v>
      </c>
      <c r="J114" s="97">
        <f>((TLAR!$B$40)/(TLAR!$B$40-1))*(TLAR!$F$28/BJ114)*((TLAR!$F$33*0.01)+2*SQRT(($G$64)/(PI()*'Drag Polar'!$D$6*$G$65)))</f>
        <v>0.17563775629482131</v>
      </c>
      <c r="K114" s="97">
        <f>((TLAR!$B$40)/(TLAR!$B$40-1))*(TLAR!$F$35/BP114)*((TLAR!$F$40*0.01)+2*SQRT(($H$64)/(PI()*'Drag Polar'!$D$6*$H$65)))</f>
        <v>0.21886242827433069</v>
      </c>
      <c r="L114" s="15">
        <f>1.15*SQRT(((TLAR!$B$40)/(TLAR!$B$40-1))*((B114)/($D$73*0.85*1.225*9.81*PI()*'Drag Polar'!$E$42*'Drag Polar'!$D$6)))+((TLAR!$B$40)/(TLAR!$B$40-1))*((4*11)/($D$73))</f>
        <v>0.10641009670333301</v>
      </c>
      <c r="M114" s="15"/>
      <c r="N114" s="15"/>
      <c r="O114" s="15"/>
      <c r="P114" s="15"/>
      <c r="Q114" s="15"/>
      <c r="R114" s="15"/>
      <c r="S114" s="15"/>
      <c r="T114" s="15"/>
      <c r="U114" s="15"/>
      <c r="V114" s="15"/>
      <c r="W114" s="15"/>
      <c r="X114" s="15"/>
      <c r="Y114" s="15"/>
      <c r="Z114" s="15"/>
      <c r="AA114" s="15"/>
      <c r="AB114" s="15"/>
      <c r="AC114" s="15"/>
      <c r="AD114" s="15"/>
      <c r="AI114" s="95">
        <f t="shared" si="22"/>
        <v>84.010162978412708</v>
      </c>
      <c r="AJ114" s="96">
        <f t="shared" si="3"/>
        <v>0.27047797315918254</v>
      </c>
      <c r="AK114" s="92">
        <f t="shared" si="4"/>
        <v>41349.664905698846</v>
      </c>
      <c r="AL114" s="96">
        <f>((AK114)/(101325))*(1-(0.43+0.014*'Drag Polar'!$D$31)*SQRT(AJ114))</f>
        <v>0.30197090612483696</v>
      </c>
      <c r="AN114" s="92"/>
      <c r="AO114" s="95">
        <f t="shared" si="5"/>
        <v>31.712998686883676</v>
      </c>
      <c r="AP114" s="96">
        <f t="shared" si="6"/>
        <v>9.3192063651127768E-2</v>
      </c>
      <c r="AQ114" s="92">
        <f t="shared" si="7"/>
        <v>101942.32695617346</v>
      </c>
      <c r="AR114" s="96">
        <f>((AQ114)/(101325))*(1-(0.43+0.014*'Drag Polar'!$D$31)*SQRT(AP114))</f>
        <v>0.85252572058392695</v>
      </c>
      <c r="AS114" s="92"/>
      <c r="AT114" s="92"/>
      <c r="AU114" s="95">
        <f t="shared" si="8"/>
        <v>35.456210417116729</v>
      </c>
      <c r="AV114" s="96">
        <f t="shared" si="9"/>
        <v>0.10419189464370446</v>
      </c>
      <c r="AW114" s="92">
        <f t="shared" si="10"/>
        <v>102097.07745843066</v>
      </c>
      <c r="AX114" s="96">
        <f>((AW114)/(101325))*(1-(0.43+0.014*'Drag Polar'!$D$31)*SQRT(AV114))</f>
        <v>0.84499617487875889</v>
      </c>
      <c r="AY114" s="92"/>
      <c r="AZ114" s="92"/>
      <c r="BA114" s="95">
        <f t="shared" si="11"/>
        <v>35.456210417116729</v>
      </c>
      <c r="BB114" s="96">
        <f t="shared" si="12"/>
        <v>0.10419189464370446</v>
      </c>
      <c r="BC114" s="92">
        <f t="shared" si="13"/>
        <v>102097.07745843066</v>
      </c>
      <c r="BD114" s="96">
        <f>((BC114)/(101325))*(1-(0.43+0.014*'Drag Polar'!$D$31)*SQRT(BB114))</f>
        <v>0.84499617487875889</v>
      </c>
      <c r="BE114" s="92"/>
      <c r="BF114" s="92"/>
      <c r="BG114" s="95">
        <f t="shared" si="14"/>
        <v>35.456210417116729</v>
      </c>
      <c r="BH114" s="96">
        <f t="shared" si="15"/>
        <v>0.10419189464370446</v>
      </c>
      <c r="BI114" s="92">
        <f t="shared" si="16"/>
        <v>102097.07745843066</v>
      </c>
      <c r="BJ114" s="96">
        <f>((BI114)/(101325))*(1-(0.43+0.014*'Drag Polar'!$D$31)*SQRT(BH114))</f>
        <v>0.84499617487875889</v>
      </c>
      <c r="BK114" s="92"/>
      <c r="BL114" s="92"/>
      <c r="BM114" s="95">
        <f t="shared" si="17"/>
        <v>31.712998686883676</v>
      </c>
      <c r="BN114" s="96">
        <f t="shared" si="18"/>
        <v>9.3192063651127768E-2</v>
      </c>
      <c r="BO114" s="92">
        <f t="shared" si="19"/>
        <v>101942.32695617346</v>
      </c>
      <c r="BP114" s="96">
        <f>((BO114)/(101325))*(1-(0.43+0.014*'Drag Polar'!$D$31)*SQRT(BN114))</f>
        <v>0.85252572058392695</v>
      </c>
      <c r="BQ114" s="92"/>
      <c r="BR114" s="92"/>
      <c r="BS114" s="95">
        <f t="shared" si="0"/>
        <v>84.010162978412708</v>
      </c>
      <c r="BT114" s="96">
        <f t="shared" si="20"/>
        <v>0.27047797315918254</v>
      </c>
      <c r="BU114" s="92">
        <f t="shared" si="21"/>
        <v>41349.664905698846</v>
      </c>
      <c r="BV114" s="96">
        <f>((BU114)/(101325))*(1-(0.43+0.014*'Drag Polar'!$D$31)*SQRT(BT114))</f>
        <v>0.30197090612483696</v>
      </c>
      <c r="BW114" s="92"/>
      <c r="BX114" s="92"/>
      <c r="BY114" s="92"/>
    </row>
    <row r="115" spans="1:77">
      <c r="A115" s="15"/>
      <c r="B115" s="88">
        <v>1500</v>
      </c>
      <c r="C115" s="89">
        <f t="shared" si="1"/>
        <v>5379.4075927863296</v>
      </c>
      <c r="D115" s="89">
        <f t="shared" si="2"/>
        <v>5788.633461047255</v>
      </c>
      <c r="E115" s="90">
        <f>(TLAR!$B$21/$AN$96)*(('Drag Polar'!$D$39*0.5*(1.225*0.3345)*Sheet1!$C$5^2)/(TLAR!$B$21*B115)+(TLAR!$B$21*B115)/('Drag Polar'!$D$26*PI()*'Drag Polar'!$D$6*0.5*(1.225*0.3345)*Sheet1!$C$5^2))</f>
        <v>0.85418262042206239</v>
      </c>
      <c r="F115" s="90">
        <f>((TLAR!$B$21/AL115))*(SQRT(($D$47^2*(1.225*0.3345)*SQRT(Sheet1!$C$9))/((TLAR!$B$21*B115*2)))+2*SQRT(Sheet1!$C$10))</f>
        <v>0.34466290460400228</v>
      </c>
      <c r="G115" s="97">
        <f>((TLAR!$B$40)/(TLAR!$B$40-0))*(TLAR!$F$6/AR115)*((TLAR!$F$11*0.01)+2*SQRT(($D$64)/(PI()*'Drag Polar'!$D$6*$D$65)))</f>
        <v>0.17483106011701066</v>
      </c>
      <c r="H115" s="97">
        <f>((TLAR!$B$40)/(TLAR!$B$40-1))*(TLAR!$F$14/AX115)*((TLAR!$F$19*0.01)+2*SQRT(($E$64)/(PI()*'Drag Polar'!$D$6*$E$65)))</f>
        <v>0.24708678140949533</v>
      </c>
      <c r="I115" s="97">
        <f>((TLAR!$B$40)/(TLAR!$B$40-1))*(TLAR!$F$21/BD115)*((TLAR!$F$26*0.01)+2*SQRT(($F$64)/(PI()*'Drag Polar'!$D$6*$F$65)))</f>
        <v>0.26436765206633056</v>
      </c>
      <c r="J115" s="97">
        <f>((TLAR!$B$40)/(TLAR!$B$40-1))*(TLAR!$F$28/BJ115)*((TLAR!$F$33*0.01)+2*SQRT(($G$64)/(PI()*'Drag Polar'!$D$6*$G$65)))</f>
        <v>0.17613240376581907</v>
      </c>
      <c r="K115" s="97">
        <f>((TLAR!$B$40)/(TLAR!$B$40-1))*(TLAR!$F$35/BP115)*((TLAR!$F$40*0.01)+2*SQRT(($H$64)/(PI()*'Drag Polar'!$D$6*$H$65)))</f>
        <v>0.21945533183817692</v>
      </c>
      <c r="L115" s="15">
        <f>1.15*SQRT(((TLAR!$B$40)/(TLAR!$B$40-1))*((B115)/($D$73*0.85*1.225*9.81*PI()*'Drag Polar'!$E$42*'Drag Polar'!$D$6)))+((TLAR!$B$40)/(TLAR!$B$40-1))*((4*11)/($D$73))</f>
        <v>0.10899243157831059</v>
      </c>
      <c r="M115" s="15"/>
      <c r="N115" s="15"/>
      <c r="O115" s="15"/>
      <c r="P115" s="15"/>
      <c r="Q115" s="15"/>
      <c r="R115" s="15"/>
      <c r="S115" s="15"/>
      <c r="T115" s="15"/>
      <c r="U115" s="15"/>
      <c r="V115" s="15"/>
      <c r="W115" s="15"/>
      <c r="X115" s="15"/>
      <c r="Y115" s="15"/>
      <c r="Z115" s="15"/>
      <c r="AA115" s="15"/>
      <c r="AB115" s="15"/>
      <c r="AC115" s="15"/>
      <c r="AD115" s="15"/>
      <c r="AI115" s="95">
        <f t="shared" si="22"/>
        <v>86.958780159211059</v>
      </c>
      <c r="AJ115" s="96">
        <f t="shared" si="3"/>
        <v>0.27997130075681637</v>
      </c>
      <c r="AK115" s="92">
        <f t="shared" si="4"/>
        <v>41498.929395531173</v>
      </c>
      <c r="AL115" s="96">
        <f>((AK115)/(101325))*(1-(0.43+0.014*'Drag Polar'!$D$31)*SQRT(AJ115))</f>
        <v>0.30120806724132032</v>
      </c>
      <c r="AN115" s="92"/>
      <c r="AO115" s="95">
        <f t="shared" si="5"/>
        <v>32.826072265931593</v>
      </c>
      <c r="AP115" s="96">
        <f t="shared" si="6"/>
        <v>9.6462950294525646E-2</v>
      </c>
      <c r="AQ115" s="92">
        <f t="shared" si="7"/>
        <v>101986.5242771287</v>
      </c>
      <c r="AR115" s="96">
        <f>((AQ115)/(101325))*(1-(0.43+0.014*'Drag Polar'!$D$31)*SQRT(AP115))</f>
        <v>0.85022244759542887</v>
      </c>
      <c r="AS115" s="92"/>
      <c r="AT115" s="92"/>
      <c r="AU115" s="95">
        <f t="shared" si="8"/>
        <v>36.700664510471796</v>
      </c>
      <c r="AV115" s="96">
        <f t="shared" si="9"/>
        <v>0.10784885708437135</v>
      </c>
      <c r="AW115" s="92">
        <f t="shared" si="10"/>
        <v>102152.38613650562</v>
      </c>
      <c r="AX115" s="96">
        <f>((AW115)/(101325))*(1-(0.43+0.014*'Drag Polar'!$D$31)*SQRT(AV115))</f>
        <v>0.84262310091865855</v>
      </c>
      <c r="AY115" s="92"/>
      <c r="AZ115" s="92"/>
      <c r="BA115" s="95">
        <f t="shared" si="11"/>
        <v>36.700664510471796</v>
      </c>
      <c r="BB115" s="96">
        <f t="shared" si="12"/>
        <v>0.10784885708437135</v>
      </c>
      <c r="BC115" s="92">
        <f t="shared" si="13"/>
        <v>102152.38613650562</v>
      </c>
      <c r="BD115" s="96">
        <f>((BC115)/(101325))*(1-(0.43+0.014*'Drag Polar'!$D$31)*SQRT(BB115))</f>
        <v>0.84262310091865855</v>
      </c>
      <c r="BE115" s="92"/>
      <c r="BF115" s="92"/>
      <c r="BG115" s="95">
        <f t="shared" si="14"/>
        <v>36.700664510471796</v>
      </c>
      <c r="BH115" s="96">
        <f t="shared" si="15"/>
        <v>0.10784885708437135</v>
      </c>
      <c r="BI115" s="92">
        <f t="shared" si="16"/>
        <v>102152.38613650562</v>
      </c>
      <c r="BJ115" s="96">
        <f>((BI115)/(101325))*(1-(0.43+0.014*'Drag Polar'!$D$31)*SQRT(BH115))</f>
        <v>0.84262310091865855</v>
      </c>
      <c r="BK115" s="92"/>
      <c r="BL115" s="92"/>
      <c r="BM115" s="95">
        <f t="shared" si="17"/>
        <v>32.826072265931593</v>
      </c>
      <c r="BN115" s="96">
        <f t="shared" si="18"/>
        <v>9.6462950294525646E-2</v>
      </c>
      <c r="BO115" s="92">
        <f t="shared" si="19"/>
        <v>101986.5242771287</v>
      </c>
      <c r="BP115" s="96">
        <f>((BO115)/(101325))*(1-(0.43+0.014*'Drag Polar'!$D$31)*SQRT(BN115))</f>
        <v>0.85022244759542887</v>
      </c>
      <c r="BQ115" s="92"/>
      <c r="BR115" s="92"/>
      <c r="BS115" s="95">
        <f t="shared" si="0"/>
        <v>86.958780159211059</v>
      </c>
      <c r="BT115" s="96">
        <f t="shared" si="20"/>
        <v>0.27997130075681637</v>
      </c>
      <c r="BU115" s="92">
        <f t="shared" si="21"/>
        <v>41498.929395531173</v>
      </c>
      <c r="BV115" s="96">
        <f>((BU115)/(101325))*(1-(0.43+0.014*'Drag Polar'!$D$31)*SQRT(BT115))</f>
        <v>0.30120806724132032</v>
      </c>
      <c r="BW115" s="92"/>
      <c r="BX115" s="92"/>
      <c r="BY115" s="92"/>
    </row>
    <row r="116" spans="1:77">
      <c r="A116" s="15"/>
      <c r="B116" s="88">
        <v>1600</v>
      </c>
      <c r="C116" s="89">
        <f t="shared" si="1"/>
        <v>5379.4075927863296</v>
      </c>
      <c r="D116" s="89">
        <f t="shared" si="2"/>
        <v>5788.633461047255</v>
      </c>
      <c r="E116" s="90">
        <f>(TLAR!$B$21/$AN$96)*(('Drag Polar'!$D$39*0.5*(1.225*0.3345)*Sheet1!$C$5^2)/(TLAR!$B$21*B116)+(TLAR!$B$21*B116)/('Drag Polar'!$D$26*PI()*'Drag Polar'!$D$6*0.5*(1.225*0.3345)*Sheet1!$C$5^2))</f>
        <v>0.80373542834672917</v>
      </c>
      <c r="F116" s="90">
        <f>((TLAR!$B$21/AL116))*(SQRT(($D$47^2*(1.225*0.3345)*SQRT(Sheet1!$C$9))/((TLAR!$B$21*B116*2)))+2*SQRT(Sheet1!$C$10))</f>
        <v>0.34072066835692011</v>
      </c>
      <c r="G116" s="97">
        <f>((TLAR!$B$40)/(TLAR!$B$40-0))*(TLAR!$F$6/AR116)*((TLAR!$F$11*0.01)+2*SQRT(($D$64)/(PI()*'Drag Polar'!$D$6*$D$65)))</f>
        <v>0.17527943776547356</v>
      </c>
      <c r="H116" s="97">
        <f>((TLAR!$B$40)/(TLAR!$B$40-1))*(TLAR!$F$14/AX116)*((TLAR!$F$19*0.01)+2*SQRT(($E$64)/(PI()*'Drag Polar'!$D$6*$E$65)))</f>
        <v>0.2477446981158965</v>
      </c>
      <c r="I116" s="97">
        <f>((TLAR!$B$40)/(TLAR!$B$40-1))*(TLAR!$F$21/BD116)*((TLAR!$F$26*0.01)+2*SQRT(($F$64)/(PI()*'Drag Polar'!$D$6*$F$65)))</f>
        <v>0.26507158245845552</v>
      </c>
      <c r="J116" s="97">
        <f>((TLAR!$B$40)/(TLAR!$B$40-1))*(TLAR!$F$28/BJ116)*((TLAR!$F$33*0.01)+2*SQRT(($G$64)/(PI()*'Drag Polar'!$D$6*$G$65)))</f>
        <v>0.17660139061454924</v>
      </c>
      <c r="K116" s="97">
        <f>((TLAR!$B$40)/(TLAR!$B$40-1))*(TLAR!$F$35/BP116)*((TLAR!$F$40*0.01)+2*SQRT(($H$64)/(PI()*'Drag Polar'!$D$6*$H$65)))</f>
        <v>0.22001815440280806</v>
      </c>
      <c r="L116" s="15">
        <f>1.15*SQRT(((TLAR!$B$40)/(TLAR!$B$40-1))*((B116)/($D$73*0.85*1.225*9.81*PI()*'Drag Polar'!$E$42*'Drag Polar'!$D$6)))+((TLAR!$B$40)/(TLAR!$B$40-1))*((4*11)/($D$73))</f>
        <v>0.11149003019633325</v>
      </c>
      <c r="M116" s="15"/>
      <c r="N116" s="15"/>
      <c r="O116" s="15"/>
      <c r="P116" s="15"/>
      <c r="Q116" s="15"/>
      <c r="R116" s="15"/>
      <c r="S116" s="15"/>
      <c r="T116" s="15"/>
      <c r="U116" s="15"/>
      <c r="V116" s="15"/>
      <c r="W116" s="15"/>
      <c r="X116" s="15"/>
      <c r="Y116" s="15"/>
      <c r="Z116" s="15"/>
      <c r="AA116" s="15"/>
      <c r="AB116" s="15"/>
      <c r="AC116" s="15"/>
      <c r="AD116" s="15"/>
      <c r="AI116" s="95">
        <f t="shared" si="22"/>
        <v>89.810641963503031</v>
      </c>
      <c r="AJ116" s="96">
        <f t="shared" si="3"/>
        <v>0.28915311606591404</v>
      </c>
      <c r="AK116" s="92">
        <f t="shared" si="4"/>
        <v>41648.578358017068</v>
      </c>
      <c r="AL116" s="96">
        <f>((AK116)/(101325))*(1-(0.43+0.014*'Drag Polar'!$D$31)*SQRT(AJ116))</f>
        <v>0.30052545567504824</v>
      </c>
      <c r="AN116" s="92"/>
      <c r="AO116" s="95">
        <f t="shared" si="5"/>
        <v>33.90262165529446</v>
      </c>
      <c r="AP116" s="96">
        <f t="shared" si="6"/>
        <v>9.9626506671128448E-2</v>
      </c>
      <c r="AQ116" s="92">
        <f t="shared" si="7"/>
        <v>102030.73528342166</v>
      </c>
      <c r="AR116" s="96">
        <f>((AQ116)/(101325))*(1-(0.43+0.014*'Drag Polar'!$D$31)*SQRT(AP116))</f>
        <v>0.84804751625959662</v>
      </c>
      <c r="AS116" s="92"/>
      <c r="AT116" s="92"/>
      <c r="AU116" s="95">
        <f t="shared" si="8"/>
        <v>37.904283318347424</v>
      </c>
      <c r="AV116" s="96">
        <f t="shared" si="9"/>
        <v>0.11138582063873972</v>
      </c>
      <c r="AW116" s="92">
        <f t="shared" si="10"/>
        <v>102207.71621281801</v>
      </c>
      <c r="AX116" s="96">
        <f>((AW116)/(101325))*(1-(0.43+0.014*'Drag Polar'!$D$31)*SQRT(AV116))</f>
        <v>0.84038541099225461</v>
      </c>
      <c r="AY116" s="92"/>
      <c r="AZ116" s="92"/>
      <c r="BA116" s="95">
        <f t="shared" si="11"/>
        <v>37.904283318347424</v>
      </c>
      <c r="BB116" s="96">
        <f t="shared" si="12"/>
        <v>0.11138582063873972</v>
      </c>
      <c r="BC116" s="92">
        <f t="shared" si="13"/>
        <v>102207.71621281801</v>
      </c>
      <c r="BD116" s="96">
        <f>((BC116)/(101325))*(1-(0.43+0.014*'Drag Polar'!$D$31)*SQRT(BB116))</f>
        <v>0.84038541099225461</v>
      </c>
      <c r="BE116" s="92"/>
      <c r="BF116" s="92"/>
      <c r="BG116" s="95">
        <f t="shared" si="14"/>
        <v>37.904283318347424</v>
      </c>
      <c r="BH116" s="96">
        <f t="shared" si="15"/>
        <v>0.11138582063873972</v>
      </c>
      <c r="BI116" s="92">
        <f t="shared" si="16"/>
        <v>102207.71621281801</v>
      </c>
      <c r="BJ116" s="96">
        <f>((BI116)/(101325))*(1-(0.43+0.014*'Drag Polar'!$D$31)*SQRT(BH116))</f>
        <v>0.84038541099225461</v>
      </c>
      <c r="BK116" s="92"/>
      <c r="BL116" s="92"/>
      <c r="BM116" s="95">
        <f t="shared" si="17"/>
        <v>33.90262165529446</v>
      </c>
      <c r="BN116" s="96">
        <f t="shared" si="18"/>
        <v>9.9626506671128448E-2</v>
      </c>
      <c r="BO116" s="92">
        <f t="shared" si="19"/>
        <v>102030.73528342166</v>
      </c>
      <c r="BP116" s="96">
        <f>((BO116)/(101325))*(1-(0.43+0.014*'Drag Polar'!$D$31)*SQRT(BN116))</f>
        <v>0.84804751625959662</v>
      </c>
      <c r="BQ116" s="92"/>
      <c r="BR116" s="92"/>
      <c r="BS116" s="95">
        <f t="shared" si="0"/>
        <v>89.810641963503031</v>
      </c>
      <c r="BT116" s="96">
        <f t="shared" si="20"/>
        <v>0.28915311606591404</v>
      </c>
      <c r="BU116" s="92">
        <f t="shared" si="21"/>
        <v>41648.578358017068</v>
      </c>
      <c r="BV116" s="96">
        <f>((BU116)/(101325))*(1-(0.43+0.014*'Drag Polar'!$D$31)*SQRT(BT116))</f>
        <v>0.30052545567504824</v>
      </c>
      <c r="BW116" s="92"/>
      <c r="BX116" s="92"/>
      <c r="BY116" s="92"/>
    </row>
    <row r="117" spans="1:77">
      <c r="A117" s="15"/>
      <c r="B117" s="88">
        <v>1700</v>
      </c>
      <c r="C117" s="89">
        <f t="shared" si="1"/>
        <v>5379.4075927863296</v>
      </c>
      <c r="D117" s="89">
        <f t="shared" si="2"/>
        <v>5788.633461047255</v>
      </c>
      <c r="E117" s="90">
        <f>(TLAR!$B$21/$AN$96)*(('Drag Polar'!$D$39*0.5*(1.225*0.3345)*Sheet1!$C$5^2)/(TLAR!$B$21*B117)+(TLAR!$B$21*B117)/('Drag Polar'!$D$26*PI()*'Drag Polar'!$D$6*0.5*(1.225*0.3345)*Sheet1!$C$5^2))</f>
        <v>0.75940167270992376</v>
      </c>
      <c r="F117" s="90">
        <f>((TLAR!$B$21/AL117))*(SQRT(($D$47^2*(1.225*0.3345)*SQRT(Sheet1!$C$9))/((TLAR!$B$21*B117*2)))+2*SQRT(Sheet1!$C$10))</f>
        <v>0.33710446667870458</v>
      </c>
      <c r="G117" s="97">
        <f>((TLAR!$B$40)/(TLAR!$B$40-0))*(TLAR!$F$6/AR117)*((TLAR!$F$11*0.01)+2*SQRT(($D$64)/(PI()*'Drag Polar'!$D$6*$D$65)))</f>
        <v>0.17570632929066923</v>
      </c>
      <c r="H117" s="97">
        <f>((TLAR!$B$40)/(TLAR!$B$40-1))*(TLAR!$F$14/AX117)*((TLAR!$F$19*0.01)+2*SQRT(($E$64)/(PI()*'Drag Polar'!$D$6*$E$65)))</f>
        <v>0.2483703294423254</v>
      </c>
      <c r="I117" s="97">
        <f>((TLAR!$B$40)/(TLAR!$B$40-1))*(TLAR!$F$21/BD117)*((TLAR!$F$26*0.01)+2*SQRT(($F$64)/(PI()*'Drag Polar'!$D$6*$F$65)))</f>
        <v>0.26574096948063314</v>
      </c>
      <c r="J117" s="97">
        <f>((TLAR!$B$40)/(TLAR!$B$40-1))*(TLAR!$F$28/BJ117)*((TLAR!$F$33*0.01)+2*SQRT(($G$64)/(PI()*'Drag Polar'!$D$6*$G$65)))</f>
        <v>0.17704736327551687</v>
      </c>
      <c r="K117" s="97">
        <f>((TLAR!$B$40)/(TLAR!$B$40-1))*(TLAR!$F$35/BP117)*((TLAR!$F$40*0.01)+2*SQRT(($H$64)/(PI()*'Drag Polar'!$D$6*$H$65)))</f>
        <v>0.2205540066779017</v>
      </c>
      <c r="L117" s="15">
        <f>1.15*SQRT(((TLAR!$B$40)/(TLAR!$B$40-1))*((B117)/($D$73*0.85*1.225*9.81*PI()*'Drag Polar'!$E$42*'Drag Polar'!$D$6)))+((TLAR!$B$40)/(TLAR!$B$40-1))*((4*11)/($D$73))</f>
        <v>0.11391072410719291</v>
      </c>
      <c r="M117" s="15"/>
      <c r="N117" s="15"/>
      <c r="O117" s="15"/>
      <c r="P117" s="15"/>
      <c r="Q117" s="15"/>
      <c r="R117" s="15"/>
      <c r="S117" s="15"/>
      <c r="T117" s="15"/>
      <c r="U117" s="15"/>
      <c r="V117" s="15"/>
      <c r="W117" s="15"/>
      <c r="X117" s="15"/>
      <c r="Y117" s="15"/>
      <c r="Z117" s="15"/>
      <c r="AA117" s="15"/>
      <c r="AB117" s="15"/>
      <c r="AC117" s="15"/>
      <c r="AD117" s="15"/>
      <c r="AI117" s="95">
        <f t="shared" si="22"/>
        <v>92.574690780013213</v>
      </c>
      <c r="AJ117" s="96">
        <f t="shared" si="3"/>
        <v>0.29805220987906161</v>
      </c>
      <c r="AK117" s="92">
        <f t="shared" si="4"/>
        <v>41798.612386735687</v>
      </c>
      <c r="AL117" s="96">
        <f>((AK117)/(101325))*(1-(0.43+0.014*'Drag Polar'!$D$31)*SQRT(AJ117))</f>
        <v>0.29991425730522558</v>
      </c>
      <c r="AN117" s="92"/>
      <c r="AO117" s="95">
        <f t="shared" si="5"/>
        <v>34.946022517532924</v>
      </c>
      <c r="AP117" s="96">
        <f t="shared" si="6"/>
        <v>0.10269265252909125</v>
      </c>
      <c r="AQ117" s="92">
        <f t="shared" si="7"/>
        <v>102074.95997759466</v>
      </c>
      <c r="AR117" s="96">
        <f>((AQ117)/(101325))*(1-(0.43+0.014*'Drag Polar'!$D$31)*SQRT(AP117))</f>
        <v>0.84598712208304083</v>
      </c>
      <c r="AS117" s="92"/>
      <c r="AT117" s="92"/>
      <c r="AU117" s="95">
        <f t="shared" si="8"/>
        <v>39.070840946220976</v>
      </c>
      <c r="AV117" s="96">
        <f t="shared" si="9"/>
        <v>0.11481387592240687</v>
      </c>
      <c r="AW117" s="92">
        <f t="shared" si="10"/>
        <v>102263.06769233421</v>
      </c>
      <c r="AX117" s="96">
        <f>((AW117)/(101325))*(1-(0.43+0.014*'Drag Polar'!$D$31)*SQRT(AV117))</f>
        <v>0.8382685259336764</v>
      </c>
      <c r="AY117" s="92"/>
      <c r="AZ117" s="92"/>
      <c r="BA117" s="95">
        <f t="shared" si="11"/>
        <v>39.070840946220976</v>
      </c>
      <c r="BB117" s="96">
        <f t="shared" si="12"/>
        <v>0.11481387592240687</v>
      </c>
      <c r="BC117" s="92">
        <f t="shared" si="13"/>
        <v>102263.06769233421</v>
      </c>
      <c r="BD117" s="96">
        <f>((BC117)/(101325))*(1-(0.43+0.014*'Drag Polar'!$D$31)*SQRT(BB117))</f>
        <v>0.8382685259336764</v>
      </c>
      <c r="BE117" s="92"/>
      <c r="BF117" s="92"/>
      <c r="BG117" s="95">
        <f t="shared" si="14"/>
        <v>39.070840946220976</v>
      </c>
      <c r="BH117" s="96">
        <f t="shared" si="15"/>
        <v>0.11481387592240687</v>
      </c>
      <c r="BI117" s="92">
        <f t="shared" si="16"/>
        <v>102263.06769233421</v>
      </c>
      <c r="BJ117" s="96">
        <f>((BI117)/(101325))*(1-(0.43+0.014*'Drag Polar'!$D$31)*SQRT(BH117))</f>
        <v>0.8382685259336764</v>
      </c>
      <c r="BK117" s="92"/>
      <c r="BL117" s="92"/>
      <c r="BM117" s="95">
        <f t="shared" si="17"/>
        <v>34.946022517532924</v>
      </c>
      <c r="BN117" s="96">
        <f t="shared" si="18"/>
        <v>0.10269265252909125</v>
      </c>
      <c r="BO117" s="92">
        <f t="shared" si="19"/>
        <v>102074.95997759466</v>
      </c>
      <c r="BP117" s="96">
        <f>((BO117)/(101325))*(1-(0.43+0.014*'Drag Polar'!$D$31)*SQRT(BN117))</f>
        <v>0.84598712208304083</v>
      </c>
      <c r="BQ117" s="92"/>
      <c r="BR117" s="92"/>
      <c r="BS117" s="95">
        <f t="shared" si="0"/>
        <v>92.574690780013213</v>
      </c>
      <c r="BT117" s="96">
        <f t="shared" si="20"/>
        <v>0.29805220987906161</v>
      </c>
      <c r="BU117" s="92">
        <f t="shared" si="21"/>
        <v>41798.612386735687</v>
      </c>
      <c r="BV117" s="96">
        <f>((BU117)/(101325))*(1-(0.43+0.014*'Drag Polar'!$D$31)*SQRT(BT117))</f>
        <v>0.29991425730522558</v>
      </c>
      <c r="BW117" s="92"/>
      <c r="BX117" s="92"/>
      <c r="BY117" s="92"/>
    </row>
    <row r="118" spans="1:77">
      <c r="A118" s="15"/>
      <c r="B118" s="88">
        <v>1800</v>
      </c>
      <c r="C118" s="89">
        <f t="shared" si="1"/>
        <v>5379.4075927863296</v>
      </c>
      <c r="D118" s="89">
        <f t="shared" si="2"/>
        <v>5788.633461047255</v>
      </c>
      <c r="E118" s="90">
        <f>(TLAR!$B$21/$AN$96)*(('Drag Polar'!$D$39*0.5*(1.225*0.3345)*Sheet1!$C$5^2)/(TLAR!$B$21*B118)+(TLAR!$B$21*B118)/('Drag Polar'!$D$26*PI()*'Drag Polar'!$D$6*0.5*(1.225*0.3345)*Sheet1!$C$5^2))</f>
        <v>0.72016244743855828</v>
      </c>
      <c r="F118" s="90">
        <f>((TLAR!$B$21/AL118))*(SQRT(($D$47^2*(1.225*0.3345)*SQRT(Sheet1!$C$9))/((TLAR!$B$21*B118*2)))+2*SQRT(Sheet1!$C$10))</f>
        <v>0.33376725322873335</v>
      </c>
      <c r="G118" s="97">
        <f>((TLAR!$B$40)/(TLAR!$B$40-0))*(TLAR!$F$6/AR118)*((TLAR!$F$11*0.01)+2*SQRT(($D$64)/(PI()*'Drag Polar'!$D$6*$D$65)))</f>
        <v>0.17611382665813113</v>
      </c>
      <c r="H118" s="97">
        <f>((TLAR!$B$40)/(TLAR!$B$40-1))*(TLAR!$F$14/AX118)*((TLAR!$F$19*0.01)+2*SQRT(($E$64)/(PI()*'Drag Polar'!$D$6*$E$65)))</f>
        <v>0.24896681011128027</v>
      </c>
      <c r="I118" s="97">
        <f>((TLAR!$B$40)/(TLAR!$B$40-1))*(TLAR!$F$21/BD118)*((TLAR!$F$26*0.01)+2*SQRT(($F$64)/(PI()*'Drag Polar'!$D$6*$F$65)))</f>
        <v>0.26637916709304699</v>
      </c>
      <c r="J118" s="97">
        <f>((TLAR!$B$40)/(TLAR!$B$40-1))*(TLAR!$F$28/BJ118)*((TLAR!$F$33*0.01)+2*SQRT(($G$64)/(PI()*'Drag Polar'!$D$6*$G$65)))</f>
        <v>0.17747255629241385</v>
      </c>
      <c r="K118" s="97">
        <f>((TLAR!$B$40)/(TLAR!$B$40-1))*(TLAR!$F$35/BP118)*((TLAR!$F$40*0.01)+2*SQRT(($H$64)/(PI()*'Drag Polar'!$D$6*$H$65)))</f>
        <v>0.22106551458696358</v>
      </c>
      <c r="L118" s="15">
        <f>1.15*SQRT(((TLAR!$B$40)/(TLAR!$B$40-1))*((B118)/($D$73*0.85*1.225*9.81*PI()*'Drag Polar'!$E$42*'Drag Polar'!$D$6)))+((TLAR!$B$40)/(TLAR!$B$40-1))*((4*11)/($D$73))</f>
        <v>0.11626120804372642</v>
      </c>
      <c r="M118" s="15"/>
      <c r="N118" s="15"/>
      <c r="O118" s="15"/>
      <c r="P118" s="15"/>
      <c r="Q118" s="15"/>
      <c r="R118" s="15"/>
      <c r="S118" s="15"/>
      <c r="T118" s="15"/>
      <c r="U118" s="15"/>
      <c r="V118" s="15"/>
      <c r="W118" s="15"/>
      <c r="X118" s="15"/>
      <c r="Y118" s="15"/>
      <c r="Z118" s="15"/>
      <c r="AA118" s="15"/>
      <c r="AB118" s="15"/>
      <c r="AC118" s="15"/>
      <c r="AD118" s="15"/>
      <c r="AI118" s="95">
        <f t="shared" si="22"/>
        <v>95.258570932665137</v>
      </c>
      <c r="AJ118" s="96">
        <f t="shared" si="3"/>
        <v>0.30669319375714293</v>
      </c>
      <c r="AK118" s="92">
        <f t="shared" si="4"/>
        <v>41949.032075571246</v>
      </c>
      <c r="AL118" s="96">
        <f>((AK118)/(101325))*(1-(0.43+0.014*'Drag Polar'!$D$31)*SQRT(AJ118))</f>
        <v>0.29936707321837852</v>
      </c>
      <c r="AN118" s="92"/>
      <c r="AO118" s="95">
        <f t="shared" si="5"/>
        <v>35.959160508690907</v>
      </c>
      <c r="AP118" s="96">
        <f t="shared" si="6"/>
        <v>0.10566986767962259</v>
      </c>
      <c r="AQ118" s="92">
        <f t="shared" si="7"/>
        <v>102119.19836218996</v>
      </c>
      <c r="AR118" s="96">
        <f>((AQ118)/(101325))*(1-(0.43+0.014*'Drag Polar'!$D$31)*SQRT(AP118))</f>
        <v>0.84402965212342951</v>
      </c>
      <c r="AS118" s="92"/>
      <c r="AT118" s="92"/>
      <c r="AU118" s="95">
        <f t="shared" si="8"/>
        <v>40.203563655629395</v>
      </c>
      <c r="AV118" s="96">
        <f t="shared" si="9"/>
        <v>0.11814250365252205</v>
      </c>
      <c r="AW118" s="92">
        <f t="shared" si="10"/>
        <v>102318.44058002107</v>
      </c>
      <c r="AX118" s="96">
        <f>((AW118)/(101325))*(1-(0.43+0.014*'Drag Polar'!$D$31)*SQRT(AV118))</f>
        <v>0.83626018204683772</v>
      </c>
      <c r="AY118" s="92"/>
      <c r="AZ118" s="92"/>
      <c r="BA118" s="95">
        <f t="shared" si="11"/>
        <v>40.203563655629395</v>
      </c>
      <c r="BB118" s="96">
        <f t="shared" si="12"/>
        <v>0.11814250365252205</v>
      </c>
      <c r="BC118" s="92">
        <f t="shared" si="13"/>
        <v>102318.44058002107</v>
      </c>
      <c r="BD118" s="96">
        <f>((BC118)/(101325))*(1-(0.43+0.014*'Drag Polar'!$D$31)*SQRT(BB118))</f>
        <v>0.83626018204683772</v>
      </c>
      <c r="BE118" s="92"/>
      <c r="BF118" s="92"/>
      <c r="BG118" s="95">
        <f t="shared" si="14"/>
        <v>40.203563655629395</v>
      </c>
      <c r="BH118" s="96">
        <f t="shared" si="15"/>
        <v>0.11814250365252205</v>
      </c>
      <c r="BI118" s="92">
        <f t="shared" si="16"/>
        <v>102318.44058002107</v>
      </c>
      <c r="BJ118" s="96">
        <f>((BI118)/(101325))*(1-(0.43+0.014*'Drag Polar'!$D$31)*SQRT(BH118))</f>
        <v>0.83626018204683772</v>
      </c>
      <c r="BK118" s="92"/>
      <c r="BL118" s="92"/>
      <c r="BM118" s="95">
        <f t="shared" si="17"/>
        <v>35.959160508690907</v>
      </c>
      <c r="BN118" s="96">
        <f t="shared" si="18"/>
        <v>0.10566986767962259</v>
      </c>
      <c r="BO118" s="92">
        <f t="shared" si="19"/>
        <v>102119.19836218996</v>
      </c>
      <c r="BP118" s="96">
        <f>((BO118)/(101325))*(1-(0.43+0.014*'Drag Polar'!$D$31)*SQRT(BN118))</f>
        <v>0.84402965212342951</v>
      </c>
      <c r="BQ118" s="92"/>
      <c r="BR118" s="92"/>
      <c r="BS118" s="95">
        <f t="shared" si="0"/>
        <v>95.258570932665137</v>
      </c>
      <c r="BT118" s="96">
        <f t="shared" si="20"/>
        <v>0.30669319375714293</v>
      </c>
      <c r="BU118" s="92">
        <f t="shared" si="21"/>
        <v>41949.032075571246</v>
      </c>
      <c r="BV118" s="96">
        <f>((BU118)/(101325))*(1-(0.43+0.014*'Drag Polar'!$D$31)*SQRT(BT118))</f>
        <v>0.29936707321837852</v>
      </c>
      <c r="BW118" s="92"/>
      <c r="BX118" s="92"/>
      <c r="BY118" s="92"/>
    </row>
    <row r="119" spans="1:77">
      <c r="A119" s="15"/>
      <c r="B119" s="88">
        <v>1900</v>
      </c>
      <c r="C119" s="89">
        <f t="shared" si="1"/>
        <v>5379.4075927863296</v>
      </c>
      <c r="D119" s="89">
        <f t="shared" si="2"/>
        <v>5788.633461047255</v>
      </c>
      <c r="E119" s="90">
        <f>(TLAR!$B$21/$AN$96)*(('Drag Polar'!$D$39*0.5*(1.225*0.3345)*Sheet1!$C$5^2)/(TLAR!$B$21*B119)+(TLAR!$B$21*B119)/('Drag Polar'!$D$26*PI()*'Drag Polar'!$D$6*0.5*(1.225*0.3345)*Sheet1!$C$5^2))</f>
        <v>0.68521335300124731</v>
      </c>
      <c r="F119" s="90">
        <f>((TLAR!$B$21/AL119))*(SQRT(($D$47^2*(1.225*0.3345)*SQRT(Sheet1!$C$9))/((TLAR!$B$21*B119*2)))+2*SQRT(Sheet1!$C$10))</f>
        <v>0.33067087102581944</v>
      </c>
      <c r="G119" s="97">
        <f>((TLAR!$B$40)/(TLAR!$B$40-0))*(TLAR!$F$6/AR119)*((TLAR!$F$11*0.01)+2*SQRT(($D$64)/(PI()*'Drag Polar'!$D$6*$D$65)))</f>
        <v>0.17650371373558069</v>
      </c>
      <c r="H119" s="97">
        <f>((TLAR!$B$40)/(TLAR!$B$40-1))*(TLAR!$F$14/AX119)*((TLAR!$F$19*0.01)+2*SQRT(($E$64)/(PI()*'Drag Polar'!$D$6*$E$65)))</f>
        <v>0.24953681380165413</v>
      </c>
      <c r="I119" s="97">
        <f>((TLAR!$B$40)/(TLAR!$B$40-1))*(TLAR!$F$21/BD119)*((TLAR!$F$26*0.01)+2*SQRT(($F$64)/(PI()*'Drag Polar'!$D$6*$F$65)))</f>
        <v>0.26698903596759244</v>
      </c>
      <c r="J119" s="97">
        <f>((TLAR!$B$40)/(TLAR!$B$40-1))*(TLAR!$F$28/BJ119)*((TLAR!$F$33*0.01)+2*SQRT(($G$64)/(PI()*'Drag Polar'!$D$6*$G$65)))</f>
        <v>0.17787887556035781</v>
      </c>
      <c r="K119" s="97">
        <f>((TLAR!$B$40)/(TLAR!$B$40-1))*(TLAR!$F$35/BP119)*((TLAR!$F$40*0.01)+2*SQRT(($H$64)/(PI()*'Drag Polar'!$D$6*$H$65)))</f>
        <v>0.22155491731611165</v>
      </c>
      <c r="L119" s="15">
        <f>1.15*SQRT(((TLAR!$B$40)/(TLAR!$B$40-1))*((B119)/($D$73*0.85*1.225*9.81*PI()*'Drag Polar'!$E$42*'Drag Polar'!$D$6)))+((TLAR!$B$40)/(TLAR!$B$40-1))*((4*11)/($D$73))</f>
        <v>0.11854725835210525</v>
      </c>
      <c r="M119" s="15"/>
      <c r="N119" s="15"/>
      <c r="O119" s="15"/>
      <c r="P119" s="15"/>
      <c r="Q119" s="15"/>
      <c r="R119" s="15"/>
      <c r="S119" s="15"/>
      <c r="T119" s="15"/>
      <c r="U119" s="15"/>
      <c r="V119" s="15"/>
      <c r="W119" s="15"/>
      <c r="X119" s="15"/>
      <c r="Y119" s="15"/>
      <c r="Z119" s="15"/>
      <c r="AA119" s="15"/>
      <c r="AB119" s="15"/>
      <c r="AC119" s="15"/>
      <c r="AD119" s="15"/>
      <c r="AI119" s="95">
        <f t="shared" si="22"/>
        <v>97.868878093355761</v>
      </c>
      <c r="AJ119" s="96">
        <f t="shared" si="3"/>
        <v>0.31509730303530159</v>
      </c>
      <c r="AK119" s="92">
        <f t="shared" si="4"/>
        <v>42099.838018713053</v>
      </c>
      <c r="AL119" s="96">
        <f>((AK119)/(101325))*(1-(0.43+0.014*'Drag Polar'!$D$31)*SQRT(AJ119))</f>
        <v>0.29887762858569245</v>
      </c>
      <c r="AN119" s="92"/>
      <c r="AO119" s="95">
        <f t="shared" si="5"/>
        <v>36.944525429130543</v>
      </c>
      <c r="AP119" s="96">
        <f t="shared" si="6"/>
        <v>0.1085654686693574</v>
      </c>
      <c r="AQ119" s="92">
        <f t="shared" si="7"/>
        <v>102163.45043975023</v>
      </c>
      <c r="AR119" s="96">
        <f>((AQ119)/(101325))*(1-(0.43+0.014*'Drag Polar'!$D$31)*SQRT(AP119))</f>
        <v>0.84216523665373477</v>
      </c>
      <c r="AS119" s="92"/>
      <c r="AT119" s="92"/>
      <c r="AU119" s="95">
        <f t="shared" si="8"/>
        <v>41.305235128002742</v>
      </c>
      <c r="AV119" s="96">
        <f t="shared" si="9"/>
        <v>0.1213798839769034</v>
      </c>
      <c r="AW119" s="92">
        <f t="shared" si="10"/>
        <v>102373.83488084577</v>
      </c>
      <c r="AX119" s="96">
        <f>((AW119)/(101325))*(1-(0.43+0.014*'Drag Polar'!$D$31)*SQRT(AV119))</f>
        <v>0.83434995732841877</v>
      </c>
      <c r="AY119" s="92"/>
      <c r="AZ119" s="92"/>
      <c r="BA119" s="95">
        <f t="shared" si="11"/>
        <v>41.305235128002742</v>
      </c>
      <c r="BB119" s="96">
        <f t="shared" si="12"/>
        <v>0.1213798839769034</v>
      </c>
      <c r="BC119" s="92">
        <f t="shared" si="13"/>
        <v>102373.83488084577</v>
      </c>
      <c r="BD119" s="96">
        <f>((BC119)/(101325))*(1-(0.43+0.014*'Drag Polar'!$D$31)*SQRT(BB119))</f>
        <v>0.83434995732841877</v>
      </c>
      <c r="BE119" s="92"/>
      <c r="BF119" s="92"/>
      <c r="BG119" s="95">
        <f t="shared" si="14"/>
        <v>41.305235128002742</v>
      </c>
      <c r="BH119" s="96">
        <f t="shared" si="15"/>
        <v>0.1213798839769034</v>
      </c>
      <c r="BI119" s="92">
        <f t="shared" si="16"/>
        <v>102373.83488084577</v>
      </c>
      <c r="BJ119" s="96">
        <f>((BI119)/(101325))*(1-(0.43+0.014*'Drag Polar'!$D$31)*SQRT(BH119))</f>
        <v>0.83434995732841877</v>
      </c>
      <c r="BK119" s="92"/>
      <c r="BL119" s="92"/>
      <c r="BM119" s="95">
        <f t="shared" si="17"/>
        <v>36.944525429130543</v>
      </c>
      <c r="BN119" s="96">
        <f t="shared" si="18"/>
        <v>0.1085654686693574</v>
      </c>
      <c r="BO119" s="92">
        <f t="shared" si="19"/>
        <v>102163.45043975023</v>
      </c>
      <c r="BP119" s="96">
        <f>((BO119)/(101325))*(1-(0.43+0.014*'Drag Polar'!$D$31)*SQRT(BN119))</f>
        <v>0.84216523665373477</v>
      </c>
      <c r="BQ119" s="92"/>
      <c r="BR119" s="92"/>
      <c r="BS119" s="95">
        <f t="shared" si="0"/>
        <v>97.868878093355761</v>
      </c>
      <c r="BT119" s="96">
        <f t="shared" si="20"/>
        <v>0.31509730303530159</v>
      </c>
      <c r="BU119" s="92">
        <f t="shared" si="21"/>
        <v>42099.838018713053</v>
      </c>
      <c r="BV119" s="96">
        <f>((BU119)/(101325))*(1-(0.43+0.014*'Drag Polar'!$D$31)*SQRT(BT119))</f>
        <v>0.29887762858569245</v>
      </c>
      <c r="BW119" s="92"/>
      <c r="BX119" s="92"/>
      <c r="BY119" s="92"/>
    </row>
    <row r="120" spans="1:77">
      <c r="A120" s="15"/>
      <c r="B120" s="88">
        <v>2000</v>
      </c>
      <c r="C120" s="89">
        <f t="shared" si="1"/>
        <v>5379.4075927863296</v>
      </c>
      <c r="D120" s="89">
        <f t="shared" si="2"/>
        <v>5788.633461047255</v>
      </c>
      <c r="E120" s="90">
        <f>(TLAR!$B$21/$AN$96)*(('Drag Polar'!$D$39*0.5*(1.225*0.3345)*Sheet1!$C$5^2)/(TLAR!$B$21*B120)+(TLAR!$B$21*B120)/('Drag Polar'!$D$26*PI()*'Drag Polar'!$D$6*0.5*(1.225*0.3345)*Sheet1!$C$5^2))</f>
        <v>0.6539108697728826</v>
      </c>
      <c r="F120" s="90">
        <f>((TLAR!$B$21/AL120))*(SQRT(($D$47^2*(1.225*0.3345)*SQRT(Sheet1!$C$9))/((TLAR!$B$21*B120*2)))+2*SQRT(Sheet1!$C$10))</f>
        <v>0.32778401386531952</v>
      </c>
      <c r="G120" s="97">
        <f>((TLAR!$B$40)/(TLAR!$B$40-0))*(TLAR!$F$6/AR120)*((TLAR!$F$11*0.01)+2*SQRT(($D$64)/(PI()*'Drag Polar'!$D$6*$D$65)))</f>
        <v>0.17687752536408366</v>
      </c>
      <c r="H120" s="97">
        <f>((TLAR!$B$40)/(TLAR!$B$40-1))*(TLAR!$F$14/AX120)*((TLAR!$F$19*0.01)+2*SQRT(($E$64)/(PI()*'Drag Polar'!$D$6*$E$65)))</f>
        <v>0.25008264147448273</v>
      </c>
      <c r="I120" s="97">
        <f>((TLAR!$B$40)/(TLAR!$B$40-1))*(TLAR!$F$21/BD120)*((TLAR!$F$26*0.01)+2*SQRT(($F$64)/(PI()*'Drag Polar'!$D$6*$F$65)))</f>
        <v>0.26757303799099241</v>
      </c>
      <c r="J120" s="97">
        <f>((TLAR!$B$40)/(TLAR!$B$40-1))*(TLAR!$F$28/BJ120)*((TLAR!$F$33*0.01)+2*SQRT(($G$64)/(PI()*'Drag Polar'!$D$6*$G$65)))</f>
        <v>0.17826796128768321</v>
      </c>
      <c r="K120" s="97">
        <f>((TLAR!$B$40)/(TLAR!$B$40-1))*(TLAR!$F$35/BP120)*((TLAR!$F$40*0.01)+2*SQRT(($H$64)/(PI()*'Drag Polar'!$D$6*$H$65)))</f>
        <v>0.22202414146268595</v>
      </c>
      <c r="L120" s="15">
        <f>1.15*SQRT(((TLAR!$B$40)/(TLAR!$B$40-1))*((B120)/($D$73*0.85*1.225*9.81*PI()*'Drag Polar'!$E$42*'Drag Polar'!$D$6)))+((TLAR!$B$40)/(TLAR!$B$40-1))*((4*11)/($D$73))</f>
        <v>0.12077390025207702</v>
      </c>
      <c r="M120" s="15"/>
      <c r="N120" s="15"/>
      <c r="O120" s="15"/>
      <c r="P120" s="15"/>
      <c r="Q120" s="15"/>
      <c r="R120" s="15"/>
      <c r="S120" s="15"/>
      <c r="T120" s="15"/>
      <c r="U120" s="15"/>
      <c r="V120" s="15"/>
      <c r="W120" s="15"/>
      <c r="X120" s="15"/>
      <c r="Y120" s="15"/>
      <c r="Z120" s="15"/>
      <c r="AA120" s="15"/>
      <c r="AB120" s="15"/>
      <c r="AC120" s="15"/>
      <c r="AD120" s="15"/>
      <c r="AI120" s="95">
        <f t="shared" si="22"/>
        <v>100.41135026664398</v>
      </c>
      <c r="AJ120" s="96">
        <f t="shared" si="3"/>
        <v>0.32328301171463514</v>
      </c>
      <c r="AK120" s="92">
        <f t="shared" si="4"/>
        <v>42251.03081065516</v>
      </c>
      <c r="AL120" s="96">
        <f>((AK120)/(101325))*(1-(0.43+0.014*'Drag Polar'!$D$31)*SQRT(AJ120))</f>
        <v>0.2984405533088928</v>
      </c>
      <c r="AN120" s="92"/>
      <c r="AO120" s="95">
        <f t="shared" si="5"/>
        <v>37.904283318347424</v>
      </c>
      <c r="AP120" s="96">
        <f t="shared" si="6"/>
        <v>0.11138582063873972</v>
      </c>
      <c r="AQ120" s="92">
        <f t="shared" si="7"/>
        <v>102207.71621281801</v>
      </c>
      <c r="AR120" s="96">
        <f>((AQ120)/(101325))*(1-(0.43+0.014*'Drag Polar'!$D$31)*SQRT(AP120))</f>
        <v>0.84038541099225461</v>
      </c>
      <c r="AS120" s="92"/>
      <c r="AT120" s="92"/>
      <c r="AU120" s="95">
        <f t="shared" si="8"/>
        <v>42.37827706911807</v>
      </c>
      <c r="AV120" s="96">
        <f t="shared" si="9"/>
        <v>0.12453313333891054</v>
      </c>
      <c r="AW120" s="92">
        <f t="shared" si="10"/>
        <v>102429.25059977599</v>
      </c>
      <c r="AX120" s="96">
        <f>((AW120)/(101325))*(1-(0.43+0.014*'Drag Polar'!$D$31)*SQRT(AV120))</f>
        <v>0.832528914121069</v>
      </c>
      <c r="AY120" s="92"/>
      <c r="AZ120" s="92"/>
      <c r="BA120" s="95">
        <f t="shared" si="11"/>
        <v>42.37827706911807</v>
      </c>
      <c r="BB120" s="96">
        <f t="shared" si="12"/>
        <v>0.12453313333891054</v>
      </c>
      <c r="BC120" s="92">
        <f t="shared" si="13"/>
        <v>102429.25059977599</v>
      </c>
      <c r="BD120" s="96">
        <f>((BC120)/(101325))*(1-(0.43+0.014*'Drag Polar'!$D$31)*SQRT(BB120))</f>
        <v>0.832528914121069</v>
      </c>
      <c r="BE120" s="92"/>
      <c r="BF120" s="92"/>
      <c r="BG120" s="95">
        <f t="shared" si="14"/>
        <v>42.37827706911807</v>
      </c>
      <c r="BH120" s="96">
        <f t="shared" si="15"/>
        <v>0.12453313333891054</v>
      </c>
      <c r="BI120" s="92">
        <f t="shared" si="16"/>
        <v>102429.25059977599</v>
      </c>
      <c r="BJ120" s="96">
        <f>((BI120)/(101325))*(1-(0.43+0.014*'Drag Polar'!$D$31)*SQRT(BH120))</f>
        <v>0.832528914121069</v>
      </c>
      <c r="BK120" s="92"/>
      <c r="BL120" s="92"/>
      <c r="BM120" s="95">
        <f t="shared" si="17"/>
        <v>37.904283318347424</v>
      </c>
      <c r="BN120" s="96">
        <f t="shared" si="18"/>
        <v>0.11138582063873972</v>
      </c>
      <c r="BO120" s="92">
        <f t="shared" si="19"/>
        <v>102207.71621281801</v>
      </c>
      <c r="BP120" s="96">
        <f>((BO120)/(101325))*(1-(0.43+0.014*'Drag Polar'!$D$31)*SQRT(BN120))</f>
        <v>0.84038541099225461</v>
      </c>
      <c r="BQ120" s="92"/>
      <c r="BR120" s="92"/>
      <c r="BS120" s="95">
        <f t="shared" si="0"/>
        <v>100.41135026664398</v>
      </c>
      <c r="BT120" s="96">
        <f t="shared" si="20"/>
        <v>0.32328301171463514</v>
      </c>
      <c r="BU120" s="92">
        <f t="shared" si="21"/>
        <v>42251.03081065516</v>
      </c>
      <c r="BV120" s="96">
        <f>((BU120)/(101325))*(1-(0.43+0.014*'Drag Polar'!$D$31)*SQRT(BT120))</f>
        <v>0.2984405533088928</v>
      </c>
      <c r="BW120" s="92"/>
      <c r="BX120" s="92"/>
      <c r="BY120" s="92"/>
    </row>
    <row r="121" spans="1:77">
      <c r="A121" s="15"/>
      <c r="B121" s="88">
        <v>2100</v>
      </c>
      <c r="C121" s="89">
        <f t="shared" si="1"/>
        <v>5379.4075927863296</v>
      </c>
      <c r="D121" s="89">
        <f t="shared" si="2"/>
        <v>5788.633461047255</v>
      </c>
      <c r="E121" s="90">
        <f>(TLAR!$B$21/$AN$96)*(('Drag Polar'!$D$39*0.5*(1.225*0.3345)*Sheet1!$C$5^2)/(TLAR!$B$21*B121)+(TLAR!$B$21*B121)/('Drag Polar'!$D$26*PI()*'Drag Polar'!$D$6*0.5*(1.225*0.3345)*Sheet1!$C$5^2))</f>
        <v>0.62573405329504339</v>
      </c>
      <c r="F121" s="90">
        <f>((TLAR!$B$21/AL121))*(SQRT(($D$47^2*(1.225*0.3345)*SQRT(Sheet1!$C$9))/((TLAR!$B$21*B121*2)))+2*SQRT(Sheet1!$C$10))</f>
        <v>0.32508073029333534</v>
      </c>
      <c r="G121" s="97">
        <f>((TLAR!$B$40)/(TLAR!$B$40-0))*(TLAR!$F$6/AR121)*((TLAR!$F$11*0.01)+2*SQRT(($D$64)/(PI()*'Drag Polar'!$D$6*$D$65)))</f>
        <v>0.17723659274200845</v>
      </c>
      <c r="H121" s="97">
        <f>((TLAR!$B$40)/(TLAR!$B$40-1))*(TLAR!$F$14/AX121)*((TLAR!$F$19*0.01)+2*SQRT(($E$64)/(PI()*'Drag Polar'!$D$6*$E$65)))</f>
        <v>0.25060628924395106</v>
      </c>
      <c r="I121" s="97">
        <f>((TLAR!$B$40)/(TLAR!$B$40-1))*(TLAR!$F$21/BD121)*((TLAR!$F$26*0.01)+2*SQRT(($F$64)/(PI()*'Drag Polar'!$D$6*$F$65)))</f>
        <v>0.26813330888259745</v>
      </c>
      <c r="J121" s="97">
        <f>((TLAR!$B$40)/(TLAR!$B$40-1))*(TLAR!$F$28/BJ121)*((TLAR!$F$33*0.01)+2*SQRT(($G$64)/(PI()*'Drag Polar'!$D$6*$G$65)))</f>
        <v>0.17864123637685203</v>
      </c>
      <c r="K121" s="97">
        <f>((TLAR!$B$40)/(TLAR!$B$40-1))*(TLAR!$F$35/BP121)*((TLAR!$F$40*0.01)+2*SQRT(($H$64)/(PI()*'Drag Polar'!$D$6*$H$65)))</f>
        <v>0.22247485800311081</v>
      </c>
      <c r="L121" s="15">
        <f>1.15*SQRT(((TLAR!$B$40)/(TLAR!$B$40-1))*((B121)/($D$73*0.85*1.225*9.81*PI()*'Drag Polar'!$E$42*'Drag Polar'!$D$6)))+((TLAR!$B$40)/(TLAR!$B$40-1))*((4*11)/($D$73))</f>
        <v>0.12294553785748871</v>
      </c>
      <c r="M121" s="15"/>
      <c r="N121" s="15"/>
      <c r="O121" s="15"/>
      <c r="P121" s="15"/>
      <c r="Q121" s="15"/>
      <c r="R121" s="15"/>
      <c r="S121" s="15"/>
      <c r="T121" s="15"/>
      <c r="U121" s="15"/>
      <c r="V121" s="15"/>
      <c r="W121" s="15"/>
      <c r="X121" s="15"/>
      <c r="Y121" s="15"/>
      <c r="Z121" s="15"/>
      <c r="AA121" s="15"/>
      <c r="AB121" s="15"/>
      <c r="AC121" s="15"/>
      <c r="AD121" s="15"/>
      <c r="AI121" s="95">
        <f t="shared" si="22"/>
        <v>102.8910162525825</v>
      </c>
      <c r="AJ121" s="96">
        <f t="shared" si="3"/>
        <v>0.33126651045110067</v>
      </c>
      <c r="AK121" s="92">
        <f t="shared" si="4"/>
        <v>42402.61104619642</v>
      </c>
      <c r="AL121" s="96">
        <f>((AK121)/(101325))*(1-(0.43+0.014*'Drag Polar'!$D$31)*SQRT(AJ121))</f>
        <v>0.29805121409101931</v>
      </c>
      <c r="AN121" s="92"/>
      <c r="AO121" s="95">
        <f t="shared" si="5"/>
        <v>38.84033249820898</v>
      </c>
      <c r="AP121" s="96">
        <f t="shared" si="6"/>
        <v>0.11413650201111726</v>
      </c>
      <c r="AQ121" s="92">
        <f t="shared" si="7"/>
        <v>102251.9956839363</v>
      </c>
      <c r="AR121" s="96">
        <f>((AQ121)/(101325))*(1-(0.43+0.014*'Drag Polar'!$D$31)*SQRT(AP121))</f>
        <v>0.83868285633746908</v>
      </c>
      <c r="AS121" s="92"/>
      <c r="AT121" s="92"/>
      <c r="AU121" s="95">
        <f t="shared" si="8"/>
        <v>43.424811867344751</v>
      </c>
      <c r="AV121" s="96">
        <f t="shared" si="9"/>
        <v>0.12760848860544982</v>
      </c>
      <c r="AW121" s="92">
        <f t="shared" si="10"/>
        <v>102484.68774177961</v>
      </c>
      <c r="AX121" s="96">
        <f>((AW121)/(101325))*(1-(0.43+0.014*'Drag Polar'!$D$31)*SQRT(AV121))</f>
        <v>0.83078932526153704</v>
      </c>
      <c r="AY121" s="92"/>
      <c r="AZ121" s="92"/>
      <c r="BA121" s="95">
        <f t="shared" si="11"/>
        <v>43.424811867344751</v>
      </c>
      <c r="BB121" s="96">
        <f t="shared" si="12"/>
        <v>0.12760848860544982</v>
      </c>
      <c r="BC121" s="92">
        <f t="shared" si="13"/>
        <v>102484.68774177961</v>
      </c>
      <c r="BD121" s="96">
        <f>((BC121)/(101325))*(1-(0.43+0.014*'Drag Polar'!$D$31)*SQRT(BB121))</f>
        <v>0.83078932526153704</v>
      </c>
      <c r="BE121" s="92"/>
      <c r="BF121" s="92"/>
      <c r="BG121" s="95">
        <f t="shared" si="14"/>
        <v>43.424811867344751</v>
      </c>
      <c r="BH121" s="96">
        <f t="shared" si="15"/>
        <v>0.12760848860544982</v>
      </c>
      <c r="BI121" s="92">
        <f t="shared" si="16"/>
        <v>102484.68774177961</v>
      </c>
      <c r="BJ121" s="96">
        <f>((BI121)/(101325))*(1-(0.43+0.014*'Drag Polar'!$D$31)*SQRT(BH121))</f>
        <v>0.83078932526153704</v>
      </c>
      <c r="BK121" s="92"/>
      <c r="BL121" s="92"/>
      <c r="BM121" s="95">
        <f t="shared" si="17"/>
        <v>38.84033249820898</v>
      </c>
      <c r="BN121" s="96">
        <f t="shared" si="18"/>
        <v>0.11413650201111726</v>
      </c>
      <c r="BO121" s="92">
        <f t="shared" si="19"/>
        <v>102251.9956839363</v>
      </c>
      <c r="BP121" s="96">
        <f>((BO121)/(101325))*(1-(0.43+0.014*'Drag Polar'!$D$31)*SQRT(BN121))</f>
        <v>0.83868285633746908</v>
      </c>
      <c r="BQ121" s="92"/>
      <c r="BR121" s="92"/>
      <c r="BS121" s="95">
        <f t="shared" si="0"/>
        <v>102.8910162525825</v>
      </c>
      <c r="BT121" s="96">
        <f t="shared" si="20"/>
        <v>0.33126651045110067</v>
      </c>
      <c r="BU121" s="92">
        <f t="shared" si="21"/>
        <v>42402.61104619642</v>
      </c>
      <c r="BV121" s="96">
        <f>((BU121)/(101325))*(1-(0.43+0.014*'Drag Polar'!$D$31)*SQRT(BT121))</f>
        <v>0.29805121409101931</v>
      </c>
      <c r="BW121" s="92"/>
      <c r="BX121" s="92"/>
      <c r="BY121" s="92"/>
    </row>
    <row r="122" spans="1:77">
      <c r="A122" s="15"/>
      <c r="B122" s="88">
        <v>2200</v>
      </c>
      <c r="C122" s="89">
        <f t="shared" si="1"/>
        <v>5379.4075927863296</v>
      </c>
      <c r="D122" s="89">
        <f t="shared" si="2"/>
        <v>5788.633461047255</v>
      </c>
      <c r="E122" s="90">
        <f>(TLAR!$B$21/$AN$96)*(('Drag Polar'!$D$39*0.5*(1.225*0.3345)*Sheet1!$C$5^2)/(TLAR!$B$21*B122)+(TLAR!$B$21*B122)/('Drag Polar'!$D$26*PI()*'Drag Polar'!$D$6*0.5*(1.225*0.3345)*Sheet1!$C$5^2))</f>
        <v>0.60025667628356705</v>
      </c>
      <c r="F122" s="90">
        <f>((TLAR!$B$21/AL122))*(SQRT(($D$47^2*(1.225*0.3345)*SQRT(Sheet1!$C$9))/((TLAR!$B$21*B122*2)))+2*SQRT(Sheet1!$C$10))</f>
        <v>0.32253930752418297</v>
      </c>
      <c r="G122" s="97">
        <f>((TLAR!$B$40)/(TLAR!$B$40-0))*(TLAR!$F$6/AR122)*((TLAR!$F$11*0.01)+2*SQRT(($D$64)/(PI()*'Drag Polar'!$D$6*$D$65)))</f>
        <v>0.17758207878859758</v>
      </c>
      <c r="H122" s="97">
        <f>((TLAR!$B$40)/(TLAR!$B$40-1))*(TLAR!$F$14/AX122)*((TLAR!$F$19*0.01)+2*SQRT(($E$64)/(PI()*'Drag Polar'!$D$6*$E$65)))</f>
        <v>0.25110950127131837</v>
      </c>
      <c r="I122" s="97">
        <f>((TLAR!$B$40)/(TLAR!$B$40-1))*(TLAR!$F$21/BD122)*((TLAR!$F$26*0.01)+2*SQRT(($F$64)/(PI()*'Drag Polar'!$D$6*$F$65)))</f>
        <v>0.26867171478763108</v>
      </c>
      <c r="J122" s="97">
        <f>((TLAR!$B$40)/(TLAR!$B$40-1))*(TLAR!$F$28/BJ122)*((TLAR!$F$33*0.01)+2*SQRT(($G$64)/(PI()*'Drag Polar'!$D$6*$G$65)))</f>
        <v>0.17899994412915865</v>
      </c>
      <c r="K122" s="97">
        <f>((TLAR!$B$40)/(TLAR!$B$40-1))*(TLAR!$F$35/BP122)*((TLAR!$F$40*0.01)+2*SQRT(($H$64)/(PI()*'Drag Polar'!$D$6*$H$65)))</f>
        <v>0.22290852668274325</v>
      </c>
      <c r="L122" s="15">
        <f>1.15*SQRT(((TLAR!$B$40)/(TLAR!$B$40-1))*((B122)/($D$73*0.85*1.225*9.81*PI()*'Drag Polar'!$E$42*'Drag Polar'!$D$6)))+((TLAR!$B$40)/(TLAR!$B$40-1))*((4*11)/($D$73))</f>
        <v>0.12506605661576584</v>
      </c>
      <c r="M122" s="15"/>
      <c r="N122" s="15"/>
      <c r="O122" s="15"/>
      <c r="P122" s="15"/>
      <c r="Q122" s="15"/>
      <c r="R122" s="15"/>
      <c r="S122" s="15"/>
      <c r="T122" s="15"/>
      <c r="U122" s="15"/>
      <c r="V122" s="15"/>
      <c r="W122" s="15"/>
      <c r="X122" s="15"/>
      <c r="Y122" s="15"/>
      <c r="Z122" s="15"/>
      <c r="AA122" s="15"/>
      <c r="AB122" s="15"/>
      <c r="AC122" s="15"/>
      <c r="AD122" s="15"/>
      <c r="AI122" s="95">
        <f t="shared" si="22"/>
        <v>105.31231261636852</v>
      </c>
      <c r="AJ122" s="96">
        <f t="shared" si="3"/>
        <v>0.33906208314940411</v>
      </c>
      <c r="AK122" s="92">
        <f t="shared" si="4"/>
        <v>42554.579320440091</v>
      </c>
      <c r="AL122" s="96">
        <f>((AK122)/(101325))*(1-(0.43+0.014*'Drag Polar'!$D$31)*SQRT(AJ122))</f>
        <v>0.29770558403755065</v>
      </c>
      <c r="AN122" s="92"/>
      <c r="AO122" s="95">
        <f t="shared" si="5"/>
        <v>39.754347727831053</v>
      </c>
      <c r="AP122" s="96">
        <f t="shared" si="6"/>
        <v>0.11682243424660371</v>
      </c>
      <c r="AQ122" s="92">
        <f t="shared" si="7"/>
        <v>102296.28885564793</v>
      </c>
      <c r="AR122" s="96">
        <f>((AQ122)/(101325))*(1-(0.43+0.014*'Drag Polar'!$D$31)*SQRT(AP122))</f>
        <v>0.83705119831006713</v>
      </c>
      <c r="AS122" s="92"/>
      <c r="AT122" s="92"/>
      <c r="AU122" s="95">
        <f t="shared" si="8"/>
        <v>44.446711960297272</v>
      </c>
      <c r="AV122" s="96">
        <f t="shared" si="9"/>
        <v>0.13061145213620268</v>
      </c>
      <c r="AW122" s="92">
        <f t="shared" si="10"/>
        <v>102540.14631182514</v>
      </c>
      <c r="AX122" s="96">
        <f>((AW122)/(101325))*(1-(0.43+0.014*'Drag Polar'!$D$31)*SQRT(AV122))</f>
        <v>0.8291244612139268</v>
      </c>
      <c r="AY122" s="92"/>
      <c r="AZ122" s="92"/>
      <c r="BA122" s="95">
        <f t="shared" si="11"/>
        <v>44.446711960297272</v>
      </c>
      <c r="BB122" s="96">
        <f t="shared" si="12"/>
        <v>0.13061145213620268</v>
      </c>
      <c r="BC122" s="92">
        <f t="shared" si="13"/>
        <v>102540.14631182514</v>
      </c>
      <c r="BD122" s="96">
        <f>((BC122)/(101325))*(1-(0.43+0.014*'Drag Polar'!$D$31)*SQRT(BB122))</f>
        <v>0.8291244612139268</v>
      </c>
      <c r="BE122" s="92"/>
      <c r="BF122" s="92"/>
      <c r="BG122" s="95">
        <f t="shared" si="14"/>
        <v>44.446711960297272</v>
      </c>
      <c r="BH122" s="96">
        <f t="shared" si="15"/>
        <v>0.13061145213620268</v>
      </c>
      <c r="BI122" s="92">
        <f t="shared" si="16"/>
        <v>102540.14631182514</v>
      </c>
      <c r="BJ122" s="96">
        <f>((BI122)/(101325))*(1-(0.43+0.014*'Drag Polar'!$D$31)*SQRT(BH122))</f>
        <v>0.8291244612139268</v>
      </c>
      <c r="BK122" s="92"/>
      <c r="BL122" s="92"/>
      <c r="BM122" s="95">
        <f t="shared" si="17"/>
        <v>39.754347727831053</v>
      </c>
      <c r="BN122" s="96">
        <f t="shared" si="18"/>
        <v>0.11682243424660371</v>
      </c>
      <c r="BO122" s="92">
        <f t="shared" si="19"/>
        <v>102296.28885564793</v>
      </c>
      <c r="BP122" s="96">
        <f>((BO122)/(101325))*(1-(0.43+0.014*'Drag Polar'!$D$31)*SQRT(BN122))</f>
        <v>0.83705119831006713</v>
      </c>
      <c r="BQ122" s="92"/>
      <c r="BR122" s="92"/>
      <c r="BS122" s="95">
        <f t="shared" si="0"/>
        <v>105.31231261636852</v>
      </c>
      <c r="BT122" s="96">
        <f t="shared" si="20"/>
        <v>0.33906208314940411</v>
      </c>
      <c r="BU122" s="92">
        <f t="shared" si="21"/>
        <v>42554.579320440091</v>
      </c>
      <c r="BV122" s="96">
        <f>((BU122)/(101325))*(1-(0.43+0.014*'Drag Polar'!$D$31)*SQRT(BT122))</f>
        <v>0.29770558403755065</v>
      </c>
      <c r="BW122" s="92"/>
      <c r="BX122" s="92"/>
      <c r="BY122" s="92"/>
    </row>
    <row r="123" spans="1:77">
      <c r="A123" s="15"/>
      <c r="B123" s="88">
        <v>2300</v>
      </c>
      <c r="C123" s="89">
        <f t="shared" si="1"/>
        <v>5379.4075927863296</v>
      </c>
      <c r="D123" s="89">
        <f t="shared" si="2"/>
        <v>5788.633461047255</v>
      </c>
      <c r="E123" s="90">
        <f>(TLAR!$B$21/$AN$96)*(('Drag Polar'!$D$39*0.5*(1.225*0.3345)*Sheet1!$C$5^2)/(TLAR!$B$21*B123)+(TLAR!$B$21*B123)/('Drag Polar'!$D$26*PI()*'Drag Polar'!$D$6*0.5*(1.225*0.3345)*Sheet1!$C$5^2))</f>
        <v>0.57712663793849328</v>
      </c>
      <c r="F123" s="90">
        <f>((TLAR!$B$21/AL123))*(SQRT(($D$47^2*(1.225*0.3345)*SQRT(Sheet1!$C$9))/((TLAR!$B$21*B123*2)))+2*SQRT(Sheet1!$C$10))</f>
        <v>0.32014142641643889</v>
      </c>
      <c r="G123" s="97">
        <f>((TLAR!$B$40)/(TLAR!$B$40-0))*(TLAR!$F$6/AR123)*((TLAR!$F$11*0.01)+2*SQRT(($D$64)/(PI()*'Drag Polar'!$D$6*$D$65)))</f>
        <v>0.17791500605084454</v>
      </c>
      <c r="H123" s="97">
        <f>((TLAR!$B$40)/(TLAR!$B$40-1))*(TLAR!$F$14/AX123)*((TLAR!$F$19*0.01)+2*SQRT(($E$64)/(PI()*'Drag Polar'!$D$6*$E$65)))</f>
        <v>0.25159381151205823</v>
      </c>
      <c r="I123" s="97">
        <f>((TLAR!$B$40)/(TLAR!$B$40-1))*(TLAR!$F$21/BD123)*((TLAR!$F$26*0.01)+2*SQRT(($F$64)/(PI()*'Drag Polar'!$D$6*$F$65)))</f>
        <v>0.26918989694406092</v>
      </c>
      <c r="J123" s="97">
        <f>((TLAR!$B$40)/(TLAR!$B$40-1))*(TLAR!$F$28/BJ123)*((TLAR!$F$33*0.01)+2*SQRT(($G$64)/(PI()*'Drag Polar'!$D$6*$G$65)))</f>
        <v>0.1793451780036027</v>
      </c>
      <c r="K123" s="97">
        <f>((TLAR!$B$40)/(TLAR!$B$40-1))*(TLAR!$F$35/BP123)*((TLAR!$F$40*0.01)+2*SQRT(($H$64)/(PI()*'Drag Polar'!$D$6*$H$65)))</f>
        <v>0.22332643104576366</v>
      </c>
      <c r="L123" s="15">
        <f>1.15*SQRT(((TLAR!$B$40)/(TLAR!$B$40-1))*((B123)/($D$73*0.85*1.225*9.81*PI()*'Drag Polar'!$E$42*'Drag Polar'!$D$6)))+((TLAR!$B$40)/(TLAR!$B$40-1))*((4*11)/($D$73))</f>
        <v>0.12713890499703867</v>
      </c>
      <c r="M123" s="15"/>
      <c r="N123" s="15"/>
      <c r="O123" s="15"/>
      <c r="P123" s="15"/>
      <c r="Q123" s="15"/>
      <c r="R123" s="15"/>
      <c r="S123" s="15"/>
      <c r="T123" s="15"/>
      <c r="U123" s="15"/>
      <c r="V123" s="15"/>
      <c r="W123" s="15"/>
      <c r="X123" s="15"/>
      <c r="Y123" s="15"/>
      <c r="Z123" s="15"/>
      <c r="AA123" s="15"/>
      <c r="AB123" s="15"/>
      <c r="AC123" s="15"/>
      <c r="AD123" s="15"/>
      <c r="AI123" s="95">
        <f t="shared" si="22"/>
        <v>107.67917696437999</v>
      </c>
      <c r="AJ123" s="96">
        <f t="shared" si="3"/>
        <v>0.346682407273253</v>
      </c>
      <c r="AK123" s="92">
        <f t="shared" si="4"/>
        <v>42706.936228793951</v>
      </c>
      <c r="AL123" s="96">
        <f>((AK123)/(101325))*(1-(0.43+0.014*'Drag Polar'!$D$31)*SQRT(AJ123))</f>
        <v>0.29740014010079674</v>
      </c>
      <c r="AN123" s="92"/>
      <c r="AO123" s="95">
        <f t="shared" si="5"/>
        <v>40.647815414351406</v>
      </c>
      <c r="AP123" s="96">
        <f t="shared" si="6"/>
        <v>0.11944798531273068</v>
      </c>
      <c r="AQ123" s="92">
        <f t="shared" si="7"/>
        <v>102340.59573049625</v>
      </c>
      <c r="AR123" s="96">
        <f>((AQ123)/(101325))*(1-(0.43+0.014*'Drag Polar'!$D$31)*SQRT(AP123))</f>
        <v>0.83548484834330683</v>
      </c>
      <c r="AS123" s="92"/>
      <c r="AT123" s="92"/>
      <c r="AU123" s="95">
        <f t="shared" si="8"/>
        <v>45.445639201676755</v>
      </c>
      <c r="AV123" s="96">
        <f t="shared" si="9"/>
        <v>0.13354690746733111</v>
      </c>
      <c r="AW123" s="92">
        <f t="shared" si="10"/>
        <v>102595.62631488133</v>
      </c>
      <c r="AX123" s="96">
        <f>((AW123)/(101325))*(1-(0.43+0.014*'Drag Polar'!$D$31)*SQRT(AV123))</f>
        <v>0.82752842248387803</v>
      </c>
      <c r="AY123" s="92"/>
      <c r="AZ123" s="92"/>
      <c r="BA123" s="95">
        <f t="shared" si="11"/>
        <v>45.445639201676755</v>
      </c>
      <c r="BB123" s="96">
        <f t="shared" si="12"/>
        <v>0.13354690746733111</v>
      </c>
      <c r="BC123" s="92">
        <f t="shared" si="13"/>
        <v>102595.62631488133</v>
      </c>
      <c r="BD123" s="96">
        <f>((BC123)/(101325))*(1-(0.43+0.014*'Drag Polar'!$D$31)*SQRT(BB123))</f>
        <v>0.82752842248387803</v>
      </c>
      <c r="BE123" s="92"/>
      <c r="BF123" s="92"/>
      <c r="BG123" s="95">
        <f t="shared" si="14"/>
        <v>45.445639201676755</v>
      </c>
      <c r="BH123" s="96">
        <f t="shared" si="15"/>
        <v>0.13354690746733111</v>
      </c>
      <c r="BI123" s="92">
        <f t="shared" si="16"/>
        <v>102595.62631488133</v>
      </c>
      <c r="BJ123" s="96">
        <f>((BI123)/(101325))*(1-(0.43+0.014*'Drag Polar'!$D$31)*SQRT(BH123))</f>
        <v>0.82752842248387803</v>
      </c>
      <c r="BK123" s="92"/>
      <c r="BL123" s="92"/>
      <c r="BM123" s="95">
        <f t="shared" si="17"/>
        <v>40.647815414351406</v>
      </c>
      <c r="BN123" s="96">
        <f t="shared" si="18"/>
        <v>0.11944798531273068</v>
      </c>
      <c r="BO123" s="92">
        <f t="shared" si="19"/>
        <v>102340.59573049625</v>
      </c>
      <c r="BP123" s="96">
        <f>((BO123)/(101325))*(1-(0.43+0.014*'Drag Polar'!$D$31)*SQRT(BN123))</f>
        <v>0.83548484834330683</v>
      </c>
      <c r="BQ123" s="92"/>
      <c r="BR123" s="92"/>
      <c r="BS123" s="95">
        <f t="shared" si="0"/>
        <v>107.67917696437999</v>
      </c>
      <c r="BT123" s="96">
        <f t="shared" si="20"/>
        <v>0.346682407273253</v>
      </c>
      <c r="BU123" s="92">
        <f t="shared" si="21"/>
        <v>42706.936228793951</v>
      </c>
      <c r="BV123" s="96">
        <f>((BU123)/(101325))*(1-(0.43+0.014*'Drag Polar'!$D$31)*SQRT(BT123))</f>
        <v>0.29740014010079674</v>
      </c>
      <c r="BW123" s="92"/>
      <c r="BX123" s="92"/>
      <c r="BY123" s="92"/>
    </row>
    <row r="124" spans="1:77">
      <c r="A124" s="15"/>
      <c r="B124" s="88">
        <v>2400</v>
      </c>
      <c r="C124" s="89">
        <f t="shared" si="1"/>
        <v>5379.4075927863296</v>
      </c>
      <c r="D124" s="89">
        <f t="shared" si="2"/>
        <v>5788.633461047255</v>
      </c>
      <c r="E124" s="90">
        <f>(TLAR!$B$21/$AN$96)*(('Drag Polar'!$D$39*0.5*(1.225*0.3345)*Sheet1!$C$5^2)/(TLAR!$B$21*B124)+(TLAR!$B$21*B124)/('Drag Polar'!$D$26*PI()*'Drag Polar'!$D$6*0.5*(1.225*0.3345)*Sheet1!$C$5^2))</f>
        <v>0.55605052092652174</v>
      </c>
      <c r="F124" s="90">
        <f>((TLAR!$B$21/AL124))*(SQRT(($D$47^2*(1.225*0.3345)*SQRT(Sheet1!$C$9))/((TLAR!$B$21*B124*2)))+2*SQRT(Sheet1!$C$10))</f>
        <v>0.31787151308711503</v>
      </c>
      <c r="G124" s="97">
        <f>((TLAR!$B$40)/(TLAR!$B$40-0))*(TLAR!$F$6/AR124)*((TLAR!$F$11*0.01)+2*SQRT(($D$64)/(PI()*'Drag Polar'!$D$6*$D$65)))</f>
        <v>0.17823627897933436</v>
      </c>
      <c r="H124" s="97">
        <f>((TLAR!$B$40)/(TLAR!$B$40-1))*(TLAR!$F$14/AX124)*((TLAR!$F$19*0.01)+2*SQRT(($E$64)/(PI()*'Drag Polar'!$D$6*$E$65)))</f>
        <v>0.25206057704418039</v>
      </c>
      <c r="I124" s="97">
        <f>((TLAR!$B$40)/(TLAR!$B$40-1))*(TLAR!$F$21/BD124)*((TLAR!$F$26*0.01)+2*SQRT(($F$64)/(PI()*'Drag Polar'!$D$6*$F$65)))</f>
        <v>0.26968930734185192</v>
      </c>
      <c r="J124" s="97">
        <f>((TLAR!$B$40)/(TLAR!$B$40-1))*(TLAR!$F$28/BJ124)*((TLAR!$F$33*0.01)+2*SQRT(($G$64)/(PI()*'Drag Polar'!$D$6*$G$65)))</f>
        <v>0.17967790537452366</v>
      </c>
      <c r="K124" s="97">
        <f>((TLAR!$B$40)/(TLAR!$B$40-1))*(TLAR!$F$35/BP124)*((TLAR!$F$40*0.01)+2*SQRT(($H$64)/(PI()*'Drag Polar'!$D$6*$H$65)))</f>
        <v>0.22372970639675202</v>
      </c>
      <c r="L124" s="15">
        <f>1.15*SQRT(((TLAR!$B$40)/(TLAR!$B$40-1))*((B124)/($D$73*0.85*1.225*9.81*PI()*'Drag Polar'!$E$42*'Drag Polar'!$D$6)))+((TLAR!$B$40)/(TLAR!$B$40-1))*((4*11)/($D$73))</f>
        <v>0.1291671603500511</v>
      </c>
      <c r="M124" s="15"/>
      <c r="N124" s="15"/>
      <c r="O124" s="15"/>
      <c r="P124" s="15"/>
      <c r="Q124" s="15"/>
      <c r="R124" s="15"/>
      <c r="S124" s="15"/>
      <c r="T124" s="15"/>
      <c r="U124" s="15"/>
      <c r="V124" s="15"/>
      <c r="W124" s="15"/>
      <c r="X124" s="15"/>
      <c r="Y124" s="15"/>
      <c r="Z124" s="15"/>
      <c r="AA124" s="15"/>
      <c r="AB124" s="15"/>
      <c r="AC124" s="15"/>
      <c r="AD124" s="15"/>
      <c r="AI124" s="95">
        <f t="shared" si="22"/>
        <v>109.99512314118657</v>
      </c>
      <c r="AJ124" s="96">
        <f t="shared" si="3"/>
        <v>0.35413879594862513</v>
      </c>
      <c r="AK124" s="92">
        <f t="shared" si="4"/>
        <v>42859.68236696985</v>
      </c>
      <c r="AL124" s="96">
        <f>((AK124)/(101325))*(1-(0.43+0.014*'Drag Polar'!$D$31)*SQRT(AJ124))</f>
        <v>0.29713178148817931</v>
      </c>
      <c r="AN124" s="92"/>
      <c r="AO124" s="95">
        <f t="shared" si="5"/>
        <v>41.522061999051317</v>
      </c>
      <c r="AP124" s="96">
        <f t="shared" si="6"/>
        <v>0.12201705310012449</v>
      </c>
      <c r="AQ124" s="92">
        <f t="shared" si="7"/>
        <v>102384.91631102437</v>
      </c>
      <c r="AR124" s="96">
        <f>((AQ124)/(101325))*(1-(0.43+0.014*'Drag Polar'!$D$31)*SQRT(AP124))</f>
        <v>0.83397887736212828</v>
      </c>
      <c r="AS124" s="92"/>
      <c r="AT124" s="92"/>
      <c r="AU124" s="95">
        <f t="shared" si="8"/>
        <v>46.423076597919774</v>
      </c>
      <c r="AV124" s="96">
        <f t="shared" si="9"/>
        <v>0.13641921257303991</v>
      </c>
      <c r="AW124" s="92">
        <f t="shared" si="10"/>
        <v>102651.12775591726</v>
      </c>
      <c r="AX124" s="96">
        <f>((AW124)/(101325))*(1-(0.43+0.014*'Drag Polar'!$D$31)*SQRT(AV124))</f>
        <v>0.8259960061536592</v>
      </c>
      <c r="AY124" s="92"/>
      <c r="AZ124" s="92"/>
      <c r="BA124" s="95">
        <f t="shared" si="11"/>
        <v>46.423076597919774</v>
      </c>
      <c r="BB124" s="96">
        <f t="shared" si="12"/>
        <v>0.13641921257303991</v>
      </c>
      <c r="BC124" s="92">
        <f t="shared" si="13"/>
        <v>102651.12775591726</v>
      </c>
      <c r="BD124" s="96">
        <f>((BC124)/(101325))*(1-(0.43+0.014*'Drag Polar'!$D$31)*SQRT(BB124))</f>
        <v>0.8259960061536592</v>
      </c>
      <c r="BE124" s="92"/>
      <c r="BF124" s="92"/>
      <c r="BG124" s="95">
        <f t="shared" si="14"/>
        <v>46.423076597919774</v>
      </c>
      <c r="BH124" s="96">
        <f t="shared" si="15"/>
        <v>0.13641921257303991</v>
      </c>
      <c r="BI124" s="92">
        <f t="shared" si="16"/>
        <v>102651.12775591726</v>
      </c>
      <c r="BJ124" s="96">
        <f>((BI124)/(101325))*(1-(0.43+0.014*'Drag Polar'!$D$31)*SQRT(BH124))</f>
        <v>0.8259960061536592</v>
      </c>
      <c r="BK124" s="92"/>
      <c r="BL124" s="92"/>
      <c r="BM124" s="95">
        <f t="shared" si="17"/>
        <v>41.522061999051317</v>
      </c>
      <c r="BN124" s="96">
        <f t="shared" si="18"/>
        <v>0.12201705310012449</v>
      </c>
      <c r="BO124" s="92">
        <f t="shared" si="19"/>
        <v>102384.91631102437</v>
      </c>
      <c r="BP124" s="96">
        <f>((BO124)/(101325))*(1-(0.43+0.014*'Drag Polar'!$D$31)*SQRT(BN124))</f>
        <v>0.83397887736212828</v>
      </c>
      <c r="BQ124" s="92"/>
      <c r="BR124" s="92"/>
      <c r="BS124" s="95">
        <f t="shared" si="0"/>
        <v>109.99512314118657</v>
      </c>
      <c r="BT124" s="96">
        <f t="shared" si="20"/>
        <v>0.35413879594862513</v>
      </c>
      <c r="BU124" s="92">
        <f t="shared" si="21"/>
        <v>42859.68236696985</v>
      </c>
      <c r="BV124" s="96">
        <f>((BU124)/(101325))*(1-(0.43+0.014*'Drag Polar'!$D$31)*SQRT(BT124))</f>
        <v>0.29713178148817931</v>
      </c>
      <c r="BW124" s="92"/>
      <c r="BX124" s="92"/>
      <c r="BY124" s="92"/>
    </row>
    <row r="125" spans="1:77">
      <c r="A125" s="15"/>
      <c r="B125" s="88">
        <v>2500</v>
      </c>
      <c r="C125" s="89">
        <f t="shared" si="1"/>
        <v>5379.4075927863296</v>
      </c>
      <c r="D125" s="89">
        <f t="shared" si="2"/>
        <v>5788.633461047255</v>
      </c>
      <c r="E125" s="90">
        <f>(TLAR!$B$21/$AN$96)*(('Drag Polar'!$D$39*0.5*(1.225*0.3345)*Sheet1!$C$5^2)/(TLAR!$B$21*B125)+(TLAR!$B$21*B125)/('Drag Polar'!$D$26*PI()*'Drag Polar'!$D$6*0.5*(1.225*0.3345)*Sheet1!$C$5^2))</f>
        <v>0.53678185468768014</v>
      </c>
      <c r="F125" s="90">
        <f>((TLAR!$B$21/AL125))*(SQRT(($D$47^2*(1.225*0.3345)*SQRT(Sheet1!$C$9))/((TLAR!$B$21*B125*2)))+2*SQRT(Sheet1!$C$10))</f>
        <v>0.31571623534925575</v>
      </c>
      <c r="G125" s="97">
        <f>((TLAR!$B$40)/(TLAR!$B$40-0))*(TLAR!$F$6/AR125)*((TLAR!$F$11*0.01)+2*SQRT(($D$64)/(PI()*'Drag Polar'!$D$6*$D$65)))</f>
        <v>0.17854670189481481</v>
      </c>
      <c r="H125" s="97">
        <f>((TLAR!$B$40)/(TLAR!$B$40-1))*(TLAR!$F$14/AX125)*((TLAR!$F$19*0.01)+2*SQRT(($E$64)/(PI()*'Drag Polar'!$D$6*$E$65)))</f>
        <v>0.25251100495303108</v>
      </c>
      <c r="I125" s="97">
        <f>((TLAR!$B$40)/(TLAR!$B$40-1))*(TLAR!$F$21/BD125)*((TLAR!$F$26*0.01)+2*SQRT(($F$64)/(PI()*'Drag Polar'!$D$6*$F$65)))</f>
        <v>0.27017123748804894</v>
      </c>
      <c r="J125" s="97">
        <f>((TLAR!$B$40)/(TLAR!$B$40-1))*(TLAR!$F$28/BJ125)*((TLAR!$F$33*0.01)+2*SQRT(($G$64)/(PI()*'Drag Polar'!$D$6*$G$65)))</f>
        <v>0.1799989866960599</v>
      </c>
      <c r="K125" s="97">
        <f>((TLAR!$B$40)/(TLAR!$B$40-1))*(TLAR!$F$35/BP125)*((TLAR!$F$40*0.01)+2*SQRT(($H$64)/(PI()*'Drag Polar'!$D$6*$H$65)))</f>
        <v>0.22411936235308688</v>
      </c>
      <c r="L125" s="15">
        <f>1.15*SQRT(((TLAR!$B$40)/(TLAR!$B$40-1))*((B125)/($D$73*0.85*1.225*9.81*PI()*'Drag Polar'!$E$42*'Drag Polar'!$D$6)))+((TLAR!$B$40)/(TLAR!$B$40-1))*((4*11)/($D$73))</f>
        <v>0.13115358252153594</v>
      </c>
      <c r="M125" s="15"/>
      <c r="N125" s="15"/>
      <c r="O125" s="15"/>
      <c r="P125" s="15"/>
      <c r="Q125" s="15"/>
      <c r="R125" s="15"/>
      <c r="S125" s="15"/>
      <c r="T125" s="15"/>
      <c r="U125" s="15"/>
      <c r="V125" s="15"/>
      <c r="W125" s="15"/>
      <c r="X125" s="15"/>
      <c r="Y125" s="15"/>
      <c r="Z125" s="15"/>
      <c r="AA125" s="15"/>
      <c r="AB125" s="15"/>
      <c r="AC125" s="15"/>
      <c r="AD125" s="15"/>
      <c r="AI125" s="95">
        <f t="shared" si="22"/>
        <v>112.26330245437879</v>
      </c>
      <c r="AJ125" s="96">
        <f t="shared" si="3"/>
        <v>0.36144139508239254</v>
      </c>
      <c r="AK125" s="92">
        <f t="shared" si="4"/>
        <v>43012.818330983842</v>
      </c>
      <c r="AL125" s="96">
        <f>((AK125)/(101325))*(1-(0.43+0.014*'Drag Polar'!$D$31)*SQRT(AJ125))</f>
        <v>0.29689776406708135</v>
      </c>
      <c r="AN125" s="92"/>
      <c r="AO125" s="95">
        <f t="shared" si="5"/>
        <v>42.378277069118077</v>
      </c>
      <c r="AP125" s="96">
        <f t="shared" si="6"/>
        <v>0.12453313333891056</v>
      </c>
      <c r="AQ125" s="92">
        <f t="shared" si="7"/>
        <v>102429.25059977599</v>
      </c>
      <c r="AR125" s="96">
        <f>((AQ125)/(101325))*(1-(0.43+0.014*'Drag Polar'!$D$31)*SQRT(AP125))</f>
        <v>0.832528914121069</v>
      </c>
      <c r="AS125" s="92"/>
      <c r="AT125" s="92"/>
      <c r="AU125" s="95">
        <f t="shared" si="8"/>
        <v>47.380354147934284</v>
      </c>
      <c r="AV125" s="96">
        <f t="shared" si="9"/>
        <v>0.13923227579842468</v>
      </c>
      <c r="AW125" s="92">
        <f t="shared" si="10"/>
        <v>102706.65063990251</v>
      </c>
      <c r="AX125" s="96">
        <f>((AW125)/(101325))*(1-(0.43+0.014*'Drag Polar'!$D$31)*SQRT(AV125))</f>
        <v>0.82452259847449672</v>
      </c>
      <c r="AY125" s="92"/>
      <c r="AZ125" s="92"/>
      <c r="BA125" s="95">
        <f t="shared" si="11"/>
        <v>47.380354147934284</v>
      </c>
      <c r="BB125" s="96">
        <f t="shared" si="12"/>
        <v>0.13923227579842468</v>
      </c>
      <c r="BC125" s="92">
        <f t="shared" si="13"/>
        <v>102706.65063990251</v>
      </c>
      <c r="BD125" s="96">
        <f>((BC125)/(101325))*(1-(0.43+0.014*'Drag Polar'!$D$31)*SQRT(BB125))</f>
        <v>0.82452259847449672</v>
      </c>
      <c r="BE125" s="92"/>
      <c r="BF125" s="92"/>
      <c r="BG125" s="95">
        <f t="shared" si="14"/>
        <v>47.380354147934284</v>
      </c>
      <c r="BH125" s="96">
        <f t="shared" si="15"/>
        <v>0.13923227579842468</v>
      </c>
      <c r="BI125" s="92">
        <f t="shared" si="16"/>
        <v>102706.65063990251</v>
      </c>
      <c r="BJ125" s="96">
        <f>((BI125)/(101325))*(1-(0.43+0.014*'Drag Polar'!$D$31)*SQRT(BH125))</f>
        <v>0.82452259847449672</v>
      </c>
      <c r="BK125" s="92"/>
      <c r="BL125" s="92"/>
      <c r="BM125" s="95">
        <f t="shared" si="17"/>
        <v>42.378277069118077</v>
      </c>
      <c r="BN125" s="96">
        <f t="shared" si="18"/>
        <v>0.12453313333891056</v>
      </c>
      <c r="BO125" s="92">
        <f t="shared" si="19"/>
        <v>102429.25059977599</v>
      </c>
      <c r="BP125" s="96">
        <f>((BO125)/(101325))*(1-(0.43+0.014*'Drag Polar'!$D$31)*SQRT(BN125))</f>
        <v>0.832528914121069</v>
      </c>
      <c r="BQ125" s="92"/>
      <c r="BR125" s="92"/>
      <c r="BS125" s="95">
        <f t="shared" si="0"/>
        <v>112.26330245437879</v>
      </c>
      <c r="BT125" s="96">
        <f t="shared" si="20"/>
        <v>0.36144139508239254</v>
      </c>
      <c r="BU125" s="92">
        <f t="shared" si="21"/>
        <v>43012.818330983842</v>
      </c>
      <c r="BV125" s="96">
        <f>((BU125)/(101325))*(1-(0.43+0.014*'Drag Polar'!$D$31)*SQRT(BT125))</f>
        <v>0.29689776406708135</v>
      </c>
      <c r="BW125" s="92"/>
      <c r="BX125" s="92"/>
      <c r="BY125" s="92"/>
    </row>
    <row r="126" spans="1:77">
      <c r="A126" s="15"/>
      <c r="B126" s="88">
        <v>2600</v>
      </c>
      <c r="C126" s="89">
        <f t="shared" si="1"/>
        <v>5379.4075927863296</v>
      </c>
      <c r="D126" s="89">
        <f t="shared" si="2"/>
        <v>5788.633461047255</v>
      </c>
      <c r="E126" s="90">
        <f>(TLAR!$B$21/$AN$96)*(('Drag Polar'!$D$39*0.5*(1.225*0.3345)*Sheet1!$C$5^2)/(TLAR!$B$21*B126)+(TLAR!$B$21*B126)/('Drag Polar'!$D$26*PI()*'Drag Polar'!$D$6*0.5*(1.225*0.3345)*Sheet1!$C$5^2))</f>
        <v>0.51911208720968416</v>
      </c>
      <c r="F126" s="90">
        <f>((TLAR!$B$21/AL126))*(SQRT(($D$47^2*(1.225*0.3345)*SQRT(Sheet1!$C$9))/((TLAR!$B$21*B126*2)))+2*SQRT(Sheet1!$C$10))</f>
        <v>0.31366410728755034</v>
      </c>
      <c r="G126" s="97">
        <f>((TLAR!$B$40)/(TLAR!$B$40-0))*(TLAR!$F$6/AR126)*((TLAR!$F$11*0.01)+2*SQRT(($D$64)/(PI()*'Drag Polar'!$D$6*$D$65)))</f>
        <v>0.17884699361692574</v>
      </c>
      <c r="H126" s="97">
        <f>((TLAR!$B$40)/(TLAR!$B$40-1))*(TLAR!$F$14/AX126)*((TLAR!$F$19*0.01)+2*SQRT(($E$64)/(PI()*'Drag Polar'!$D$6*$E$65)))</f>
        <v>0.25294617422447119</v>
      </c>
      <c r="I126" s="97">
        <f>((TLAR!$B$40)/(TLAR!$B$40-1))*(TLAR!$F$21/BD126)*((TLAR!$F$26*0.01)+2*SQRT(($F$64)/(PI()*'Drag Polar'!$D$6*$F$65)))</f>
        <v>0.27063684183112935</v>
      </c>
      <c r="J126" s="97">
        <f>((TLAR!$B$40)/(TLAR!$B$40-1))*(TLAR!$F$28/BJ126)*((TLAR!$F$33*0.01)+2*SQRT(($G$64)/(PI()*'Drag Polar'!$D$6*$G$65)))</f>
        <v>0.18030919110839846</v>
      </c>
      <c r="K126" s="97">
        <f>((TLAR!$B$40)/(TLAR!$B$40-1))*(TLAR!$F$35/BP126)*((TLAR!$F$40*0.01)+2*SQRT(($H$64)/(PI()*'Drag Polar'!$D$6*$H$65)))</f>
        <v>0.22449630120754452</v>
      </c>
      <c r="L126" s="15">
        <f>1.15*SQRT(((TLAR!$B$40)/(TLAR!$B$40-1))*((B126)/($D$73*0.85*1.225*9.81*PI()*'Drag Polar'!$E$42*'Drag Polar'!$D$6)))+((TLAR!$B$40)/(TLAR!$B$40-1))*((4*11)/($D$73))</f>
        <v>0.13310065790828379</v>
      </c>
      <c r="M126" s="15"/>
      <c r="N126" s="15"/>
      <c r="O126" s="15"/>
      <c r="P126" s="15"/>
      <c r="Q126" s="15"/>
      <c r="R126" s="15"/>
      <c r="S126" s="15"/>
      <c r="T126" s="15"/>
      <c r="U126" s="15"/>
      <c r="V126" s="15"/>
      <c r="W126" s="15"/>
      <c r="X126" s="15"/>
      <c r="Y126" s="15"/>
      <c r="Z126" s="15"/>
      <c r="AA126" s="15"/>
      <c r="AB126" s="15"/>
      <c r="AC126" s="15"/>
      <c r="AD126" s="15"/>
      <c r="AI126" s="95">
        <f t="shared" si="22"/>
        <v>114.48655397504925</v>
      </c>
      <c r="AJ126" s="96">
        <f t="shared" si="3"/>
        <v>0.3685993453090638</v>
      </c>
      <c r="AK126" s="92">
        <f t="shared" si="4"/>
        <v>43166.344717155764</v>
      </c>
      <c r="AL126" s="96">
        <f>((AK126)/(101325))*(1-(0.43+0.014*'Drag Polar'!$D$31)*SQRT(AJ126))</f>
        <v>0.29669564712511487</v>
      </c>
      <c r="AN126" s="92"/>
      <c r="AO126" s="95">
        <f t="shared" si="5"/>
        <v>43.217532345574945</v>
      </c>
      <c r="AP126" s="96">
        <f t="shared" si="6"/>
        <v>0.12699937539679143</v>
      </c>
      <c r="AQ126" s="92">
        <f t="shared" si="7"/>
        <v>102473.59859929454</v>
      </c>
      <c r="AR126" s="96">
        <f>((AQ126)/(101325))*(1-(0.43+0.014*'Drag Polar'!$D$31)*SQRT(AP126))</f>
        <v>0.83113106260412339</v>
      </c>
      <c r="AS126" s="92"/>
      <c r="AT126" s="92"/>
      <c r="AU126" s="95">
        <f t="shared" si="8"/>
        <v>48.318670072250747</v>
      </c>
      <c r="AV126" s="96">
        <f t="shared" si="9"/>
        <v>0.14198961824361994</v>
      </c>
      <c r="AW126" s="92">
        <f t="shared" si="10"/>
        <v>102762.19497180695</v>
      </c>
      <c r="AX126" s="96">
        <f>((AW126)/(101325))*(1-(0.43+0.014*'Drag Polar'!$D$31)*SQRT(AV126))</f>
        <v>0.82310408760132725</v>
      </c>
      <c r="AY126" s="92"/>
      <c r="AZ126" s="92"/>
      <c r="BA126" s="95">
        <f t="shared" si="11"/>
        <v>48.318670072250747</v>
      </c>
      <c r="BB126" s="96">
        <f t="shared" si="12"/>
        <v>0.14198961824361994</v>
      </c>
      <c r="BC126" s="92">
        <f t="shared" si="13"/>
        <v>102762.19497180695</v>
      </c>
      <c r="BD126" s="96">
        <f>((BC126)/(101325))*(1-(0.43+0.014*'Drag Polar'!$D$31)*SQRT(BB126))</f>
        <v>0.82310408760132725</v>
      </c>
      <c r="BE126" s="92"/>
      <c r="BF126" s="92"/>
      <c r="BG126" s="95">
        <f t="shared" si="14"/>
        <v>48.318670072250747</v>
      </c>
      <c r="BH126" s="96">
        <f t="shared" si="15"/>
        <v>0.14198961824361994</v>
      </c>
      <c r="BI126" s="92">
        <f t="shared" si="16"/>
        <v>102762.19497180695</v>
      </c>
      <c r="BJ126" s="96">
        <f>((BI126)/(101325))*(1-(0.43+0.014*'Drag Polar'!$D$31)*SQRT(BH126))</f>
        <v>0.82310408760132725</v>
      </c>
      <c r="BK126" s="92"/>
      <c r="BL126" s="92"/>
      <c r="BM126" s="95">
        <f t="shared" si="17"/>
        <v>43.217532345574945</v>
      </c>
      <c r="BN126" s="96">
        <f t="shared" si="18"/>
        <v>0.12699937539679143</v>
      </c>
      <c r="BO126" s="92">
        <f t="shared" si="19"/>
        <v>102473.59859929454</v>
      </c>
      <c r="BP126" s="96">
        <f>((BO126)/(101325))*(1-(0.43+0.014*'Drag Polar'!$D$31)*SQRT(BN126))</f>
        <v>0.83113106260412339</v>
      </c>
      <c r="BQ126" s="92"/>
      <c r="BR126" s="92"/>
      <c r="BS126" s="95">
        <f t="shared" si="0"/>
        <v>114.48655397504925</v>
      </c>
      <c r="BT126" s="96">
        <f t="shared" si="20"/>
        <v>0.3685993453090638</v>
      </c>
      <c r="BU126" s="92">
        <f t="shared" si="21"/>
        <v>43166.344717155764</v>
      </c>
      <c r="BV126" s="96">
        <f>((BU126)/(101325))*(1-(0.43+0.014*'Drag Polar'!$D$31)*SQRT(BT126))</f>
        <v>0.29669564712511487</v>
      </c>
      <c r="BW126" s="92"/>
      <c r="BX126" s="92"/>
      <c r="BY126" s="92"/>
    </row>
    <row r="127" spans="1:77">
      <c r="A127" s="15"/>
      <c r="B127" s="88">
        <v>2700</v>
      </c>
      <c r="C127" s="89">
        <f t="shared" si="1"/>
        <v>5379.4075927863296</v>
      </c>
      <c r="D127" s="89">
        <f t="shared" si="2"/>
        <v>5788.633461047255</v>
      </c>
      <c r="E127" s="90">
        <f>(TLAR!$B$21/$AN$96)*(('Drag Polar'!$D$39*0.5*(1.225*0.3345)*Sheet1!$C$5^2)/(TLAR!$B$21*B127)+(TLAR!$B$21*B127)/('Drag Polar'!$D$26*PI()*'Drag Polar'!$D$6*0.5*(1.225*0.3345)*Sheet1!$C$5^2))</f>
        <v>0.50286356307466218</v>
      </c>
      <c r="F127" s="90">
        <f>((TLAR!$B$21/AL127))*(SQRT(($D$47^2*(1.225*0.3345)*SQRT(Sheet1!$C$9))/((TLAR!$B$21*B127*2)))+2*SQRT(Sheet1!$C$10))</f>
        <v>0.31170517559886018</v>
      </c>
      <c r="G127" s="97">
        <f>((TLAR!$B$40)/(TLAR!$B$40-0))*(TLAR!$F$6/AR127)*((TLAR!$F$11*0.01)+2*SQRT(($D$64)/(PI()*'Drag Polar'!$D$6*$D$65)))</f>
        <v>0.17913779947883376</v>
      </c>
      <c r="H127" s="97">
        <f>((TLAR!$B$40)/(TLAR!$B$40-1))*(TLAR!$F$14/AX127)*((TLAR!$F$19*0.01)+2*SQRT(($E$64)/(PI()*'Drag Polar'!$D$6*$E$65)))</f>
        <v>0.25336705372828611</v>
      </c>
      <c r="I127" s="97">
        <f>((TLAR!$B$40)/(TLAR!$B$40-1))*(TLAR!$F$21/BD127)*((TLAR!$F$26*0.01)+2*SQRT(($F$64)/(PI()*'Drag Polar'!$D$6*$F$65)))</f>
        <v>0.27108715700214614</v>
      </c>
      <c r="J127" s="97">
        <f>((TLAR!$B$40)/(TLAR!$B$40-1))*(TLAR!$F$28/BJ127)*((TLAR!$F$33*0.01)+2*SQRT(($G$64)/(PI()*'Drag Polar'!$D$6*$G$65)))</f>
        <v>0.18060920925700122</v>
      </c>
      <c r="K127" s="97">
        <f>((TLAR!$B$40)/(TLAR!$B$40-1))*(TLAR!$F$35/BP127)*((TLAR!$F$40*0.01)+2*SQRT(($H$64)/(PI()*'Drag Polar'!$D$6*$H$65)))</f>
        <v>0.22486133300957553</v>
      </c>
      <c r="L127" s="15">
        <f>1.15*SQRT(((TLAR!$B$40)/(TLAR!$B$40-1))*((B127)/($D$73*0.85*1.225*9.81*PI()*'Drag Polar'!$E$42*'Drag Polar'!$D$6)))+((TLAR!$B$40)/(TLAR!$B$40-1))*((4*11)/($D$73))</f>
        <v>0.13501063594914306</v>
      </c>
      <c r="M127" s="15"/>
      <c r="N127" s="15"/>
      <c r="O127" s="15"/>
      <c r="P127" s="15"/>
      <c r="Q127" s="15"/>
      <c r="R127" s="15"/>
      <c r="S127" s="15"/>
      <c r="T127" s="15"/>
      <c r="U127" s="15"/>
      <c r="V127" s="15"/>
      <c r="W127" s="15"/>
      <c r="X127" s="15"/>
      <c r="Y127" s="15"/>
      <c r="Z127" s="15"/>
      <c r="AA127" s="15"/>
      <c r="AB127" s="15"/>
      <c r="AC127" s="15"/>
      <c r="AD127" s="15"/>
      <c r="AI127" s="95">
        <f t="shared" si="22"/>
        <v>116.66744620587353</v>
      </c>
      <c r="AJ127" s="96">
        <f t="shared" si="3"/>
        <v>0.37562091614476772</v>
      </c>
      <c r="AK127" s="92">
        <f t="shared" si="4"/>
        <v>43320.262122109321</v>
      </c>
      <c r="AL127" s="96">
        <f>((AK127)/(101325))*(1-(0.43+0.014*'Drag Polar'!$D$31)*SQRT(AJ127))</f>
        <v>0.29652324977992611</v>
      </c>
      <c r="AN127" s="92"/>
      <c r="AO127" s="95">
        <f t="shared" si="5"/>
        <v>44.040797412566157</v>
      </c>
      <c r="AP127" s="96">
        <f t="shared" si="6"/>
        <v>0.12941862850124561</v>
      </c>
      <c r="AQ127" s="92">
        <f t="shared" si="7"/>
        <v>102517.96031212398</v>
      </c>
      <c r="AR127" s="96">
        <f>((AQ127)/(101325))*(1-(0.43+0.014*'Drag Polar'!$D$31)*SQRT(AP127))</f>
        <v>0.82978183432442876</v>
      </c>
      <c r="AS127" s="92"/>
      <c r="AT127" s="92"/>
      <c r="AU127" s="95">
        <f t="shared" si="8"/>
        <v>49.239108398897386</v>
      </c>
      <c r="AV127" s="96">
        <f t="shared" si="9"/>
        <v>0.14469442544178845</v>
      </c>
      <c r="AW127" s="92">
        <f t="shared" si="10"/>
        <v>102817.76075660085</v>
      </c>
      <c r="AX127" s="96">
        <f>((AW127)/(101325))*(1-(0.43+0.014*'Drag Polar'!$D$31)*SQRT(AV127))</f>
        <v>0.82173679207146244</v>
      </c>
      <c r="AY127" s="92"/>
      <c r="AZ127" s="92"/>
      <c r="BA127" s="95">
        <f t="shared" si="11"/>
        <v>49.239108398897386</v>
      </c>
      <c r="BB127" s="96">
        <f t="shared" si="12"/>
        <v>0.14469442544178845</v>
      </c>
      <c r="BC127" s="92">
        <f t="shared" si="13"/>
        <v>102817.76075660085</v>
      </c>
      <c r="BD127" s="96">
        <f>((BC127)/(101325))*(1-(0.43+0.014*'Drag Polar'!$D$31)*SQRT(BB127))</f>
        <v>0.82173679207146244</v>
      </c>
      <c r="BE127" s="92"/>
      <c r="BF127" s="92"/>
      <c r="BG127" s="95">
        <f t="shared" si="14"/>
        <v>49.239108398897386</v>
      </c>
      <c r="BH127" s="96">
        <f t="shared" si="15"/>
        <v>0.14469442544178845</v>
      </c>
      <c r="BI127" s="92">
        <f t="shared" si="16"/>
        <v>102817.76075660085</v>
      </c>
      <c r="BJ127" s="96">
        <f>((BI127)/(101325))*(1-(0.43+0.014*'Drag Polar'!$D$31)*SQRT(BH127))</f>
        <v>0.82173679207146244</v>
      </c>
      <c r="BK127" s="92"/>
      <c r="BL127" s="92"/>
      <c r="BM127" s="95">
        <f t="shared" si="17"/>
        <v>44.040797412566157</v>
      </c>
      <c r="BN127" s="96">
        <f t="shared" si="18"/>
        <v>0.12941862850124561</v>
      </c>
      <c r="BO127" s="92">
        <f t="shared" si="19"/>
        <v>102517.96031212398</v>
      </c>
      <c r="BP127" s="96">
        <f>((BO127)/(101325))*(1-(0.43+0.014*'Drag Polar'!$D$31)*SQRT(BN127))</f>
        <v>0.82978183432442876</v>
      </c>
      <c r="BQ127" s="92"/>
      <c r="BR127" s="92"/>
      <c r="BS127" s="95">
        <f t="shared" si="0"/>
        <v>116.66744620587353</v>
      </c>
      <c r="BT127" s="96">
        <f t="shared" si="20"/>
        <v>0.37562091614476772</v>
      </c>
      <c r="BU127" s="92">
        <f t="shared" si="21"/>
        <v>43320.262122109321</v>
      </c>
      <c r="BV127" s="96">
        <f>((BU127)/(101325))*(1-(0.43+0.014*'Drag Polar'!$D$31)*SQRT(BT127))</f>
        <v>0.29652324977992611</v>
      </c>
      <c r="BW127" s="92"/>
      <c r="BX127" s="92"/>
      <c r="BY127" s="92"/>
    </row>
    <row r="128" spans="1:77">
      <c r="A128" s="15"/>
      <c r="B128" s="88">
        <v>2800</v>
      </c>
      <c r="C128" s="89">
        <f t="shared" si="1"/>
        <v>5379.4075927863296</v>
      </c>
      <c r="D128" s="89">
        <f t="shared" si="2"/>
        <v>5788.633461047255</v>
      </c>
      <c r="E128" s="90">
        <f>(TLAR!$B$21/$AN$96)*(('Drag Polar'!$D$39*0.5*(1.225*0.3345)*Sheet1!$C$5^2)/(TLAR!$B$21*B128)+(TLAR!$B$21*B128)/('Drag Polar'!$D$26*PI()*'Drag Polar'!$D$6*0.5*(1.225*0.3345)*Sheet1!$C$5^2))</f>
        <v>0.48788400621015271</v>
      </c>
      <c r="F128" s="90">
        <f>((TLAR!$B$21/AL128))*(SQRT(($D$47^2*(1.225*0.3345)*SQRT(Sheet1!$C$9))/((TLAR!$B$21*B128*2)))+2*SQRT(Sheet1!$C$10))</f>
        <v>0.30983076847171231</v>
      </c>
      <c r="G128" s="97">
        <f>((TLAR!$B$40)/(TLAR!$B$40-0))*(TLAR!$F$6/AR128)*((TLAR!$F$11*0.01)+2*SQRT(($D$64)/(PI()*'Drag Polar'!$D$6*$D$65)))</f>
        <v>0.17941970127378076</v>
      </c>
      <c r="H128" s="97">
        <f>((TLAR!$B$40)/(TLAR!$B$40-1))*(TLAR!$F$14/AX128)*((TLAR!$F$19*0.01)+2*SQRT(($E$64)/(PI()*'Drag Polar'!$D$6*$E$65)))</f>
        <v>0.25377451710808202</v>
      </c>
      <c r="I128" s="97">
        <f>((TLAR!$B$40)/(TLAR!$B$40-1))*(TLAR!$F$21/BD128)*((TLAR!$F$26*0.01)+2*SQRT(($F$64)/(PI()*'Drag Polar'!$D$6*$F$65)))</f>
        <v>0.27152311774599963</v>
      </c>
      <c r="J128" s="97">
        <f>((TLAR!$B$40)/(TLAR!$B$40-1))*(TLAR!$F$28/BJ128)*((TLAR!$F$33*0.01)+2*SQRT(($G$64)/(PI()*'Drag Polar'!$D$6*$G$65)))</f>
        <v>0.18089966390666157</v>
      </c>
      <c r="K128" s="97">
        <f>((TLAR!$B$40)/(TLAR!$B$40-1))*(TLAR!$F$35/BP128)*((TLAR!$F$40*0.01)+2*SQRT(($H$64)/(PI()*'Drag Polar'!$D$6*$H$65)))</f>
        <v>0.22521518805063331</v>
      </c>
      <c r="L128" s="15">
        <f>1.15*SQRT(((TLAR!$B$40)/(TLAR!$B$40-1))*((B128)/($D$73*0.85*1.225*9.81*PI()*'Drag Polar'!$E$42*'Drag Polar'!$D$6)))+((TLAR!$B$40)/(TLAR!$B$40-1))*((4*11)/($D$73))</f>
        <v>0.13688555958470688</v>
      </c>
      <c r="M128" s="15"/>
      <c r="N128" s="15"/>
      <c r="O128" s="15"/>
      <c r="P128" s="15"/>
      <c r="Q128" s="15"/>
      <c r="R128" s="15"/>
      <c r="S128" s="15"/>
      <c r="T128" s="15"/>
      <c r="U128" s="15"/>
      <c r="V128" s="15"/>
      <c r="W128" s="15"/>
      <c r="X128" s="15"/>
      <c r="Y128" s="15"/>
      <c r="Z128" s="15"/>
      <c r="AA128" s="15"/>
      <c r="AB128" s="15"/>
      <c r="AC128" s="15"/>
      <c r="AD128" s="15"/>
      <c r="AI128" s="95">
        <f t="shared" si="22"/>
        <v>118.80831186124534</v>
      </c>
      <c r="AJ128" s="96">
        <f t="shared" si="3"/>
        <v>0.38251361796490191</v>
      </c>
      <c r="AK128" s="92">
        <f t="shared" si="4"/>
        <v>43474.571142771725</v>
      </c>
      <c r="AL128" s="96">
        <f>((AK128)/(101325))*(1-(0.43+0.014*'Drag Polar'!$D$31)*SQRT(AJ128))</f>
        <v>0.29637861500228946</v>
      </c>
      <c r="AN128" s="92"/>
      <c r="AO128" s="95">
        <f t="shared" si="5"/>
        <v>44.848952846511047</v>
      </c>
      <c r="AP128" s="96">
        <f t="shared" si="6"/>
        <v>0.13179348032096161</v>
      </c>
      <c r="AQ128" s="92">
        <f t="shared" si="7"/>
        <v>102562.33574080809</v>
      </c>
      <c r="AR128" s="96">
        <f>((AQ128)/(101325))*(1-(0.43+0.014*'Drag Polar'!$D$31)*SQRT(AP128))</f>
        <v>0.82847809238945835</v>
      </c>
      <c r="AS128" s="92"/>
      <c r="AT128" s="92"/>
      <c r="AU128" s="95">
        <f t="shared" si="8"/>
        <v>50.142653642240695</v>
      </c>
      <c r="AV128" s="96">
        <f t="shared" si="9"/>
        <v>0.14734959049447549</v>
      </c>
      <c r="AW128" s="92">
        <f t="shared" si="10"/>
        <v>102873.34799925501</v>
      </c>
      <c r="AX128" s="96">
        <f>((AW128)/(101325))*(1-(0.43+0.014*'Drag Polar'!$D$31)*SQRT(AV128))</f>
        <v>0.82041740171495359</v>
      </c>
      <c r="AY128" s="92"/>
      <c r="AZ128" s="92"/>
      <c r="BA128" s="95">
        <f t="shared" si="11"/>
        <v>50.142653642240695</v>
      </c>
      <c r="BB128" s="96">
        <f t="shared" si="12"/>
        <v>0.14734959049447549</v>
      </c>
      <c r="BC128" s="92">
        <f t="shared" si="13"/>
        <v>102873.34799925501</v>
      </c>
      <c r="BD128" s="96">
        <f>((BC128)/(101325))*(1-(0.43+0.014*'Drag Polar'!$D$31)*SQRT(BB128))</f>
        <v>0.82041740171495359</v>
      </c>
      <c r="BE128" s="92"/>
      <c r="BF128" s="92"/>
      <c r="BG128" s="95">
        <f t="shared" si="14"/>
        <v>50.142653642240695</v>
      </c>
      <c r="BH128" s="96">
        <f t="shared" si="15"/>
        <v>0.14734959049447549</v>
      </c>
      <c r="BI128" s="92">
        <f t="shared" si="16"/>
        <v>102873.34799925501</v>
      </c>
      <c r="BJ128" s="96">
        <f>((BI128)/(101325))*(1-(0.43+0.014*'Drag Polar'!$D$31)*SQRT(BH128))</f>
        <v>0.82041740171495359</v>
      </c>
      <c r="BK128" s="92"/>
      <c r="BL128" s="92"/>
      <c r="BM128" s="95">
        <f t="shared" si="17"/>
        <v>44.848952846511047</v>
      </c>
      <c r="BN128" s="96">
        <f t="shared" si="18"/>
        <v>0.13179348032096161</v>
      </c>
      <c r="BO128" s="92">
        <f t="shared" si="19"/>
        <v>102562.33574080809</v>
      </c>
      <c r="BP128" s="96">
        <f>((BO128)/(101325))*(1-(0.43+0.014*'Drag Polar'!$D$31)*SQRT(BN128))</f>
        <v>0.82847809238945835</v>
      </c>
      <c r="BQ128" s="92"/>
      <c r="BR128" s="92"/>
      <c r="BS128" s="95">
        <f t="shared" si="0"/>
        <v>118.80831186124534</v>
      </c>
      <c r="BT128" s="96">
        <f t="shared" si="20"/>
        <v>0.38251361796490191</v>
      </c>
      <c r="BU128" s="92">
        <f t="shared" si="21"/>
        <v>43474.571142771725</v>
      </c>
      <c r="BV128" s="96">
        <f>((BU128)/(101325))*(1-(0.43+0.014*'Drag Polar'!$D$31)*SQRT(BT128))</f>
        <v>0.29637861500228946</v>
      </c>
      <c r="BW128" s="92"/>
      <c r="BX128" s="92"/>
      <c r="BY128" s="92"/>
    </row>
    <row r="129" spans="1:77">
      <c r="A129" s="15"/>
      <c r="B129" s="88">
        <v>2900</v>
      </c>
      <c r="C129" s="89">
        <f t="shared" si="1"/>
        <v>5379.4075927863296</v>
      </c>
      <c r="D129" s="89">
        <f t="shared" si="2"/>
        <v>5788.633461047255</v>
      </c>
      <c r="E129" s="90">
        <f>(TLAR!$B$21/$AN$96)*(('Drag Polar'!$D$39*0.5*(1.225*0.3345)*Sheet1!$C$5^2)/(TLAR!$B$21*B129)+(TLAR!$B$21*B129)/('Drag Polar'!$D$26*PI()*'Drag Polar'!$D$6*0.5*(1.225*0.3345)*Sheet1!$C$5^2))</f>
        <v>0.47404214413989576</v>
      </c>
      <c r="F129" s="90">
        <f>((TLAR!$B$21/AL129))*(SQRT(($D$47^2*(1.225*0.3345)*SQRT(Sheet1!$C$9))/((TLAR!$B$21*B129*2)))+2*SQRT(Sheet1!$C$10))</f>
        <v>0.30803329280840758</v>
      </c>
      <c r="G129" s="97">
        <f>((TLAR!$B$40)/(TLAR!$B$40-0))*(TLAR!$F$6/AR129)*((TLAR!$F$11*0.01)+2*SQRT(($D$64)/(PI()*'Drag Polar'!$D$6*$D$65)))</f>
        <v>0.17969322555020048</v>
      </c>
      <c r="H129" s="97">
        <f>((TLAR!$B$40)/(TLAR!$B$40-1))*(TLAR!$F$14/AX129)*((TLAR!$F$19*0.01)+2*SQRT(($E$64)/(PI()*'Drag Polar'!$D$6*$E$65)))</f>
        <v>0.25416935520062534</v>
      </c>
      <c r="I129" s="97">
        <f>((TLAR!$B$40)/(TLAR!$B$40-1))*(TLAR!$F$21/BD129)*((TLAR!$F$26*0.01)+2*SQRT(($F$64)/(PI()*'Drag Polar'!$D$6*$F$65)))</f>
        <v>0.27194557020936727</v>
      </c>
      <c r="J129" s="97">
        <f>((TLAR!$B$40)/(TLAR!$B$40-1))*(TLAR!$F$28/BJ129)*((TLAR!$F$33*0.01)+2*SQRT(($G$64)/(PI()*'Drag Polar'!$D$6*$G$65)))</f>
        <v>0.1811811187944595</v>
      </c>
      <c r="K129" s="97">
        <f>((TLAR!$B$40)/(TLAR!$B$40-1))*(TLAR!$F$35/BP129)*((TLAR!$F$40*0.01)+2*SQRT(($H$64)/(PI()*'Drag Polar'!$D$6*$H$65)))</f>
        <v>0.22555852727655412</v>
      </c>
      <c r="L129" s="15">
        <f>1.15*SQRT(((TLAR!$B$40)/(TLAR!$B$40-1))*((B129)/($D$73*0.85*1.225*9.81*PI()*'Drag Polar'!$E$42*'Drag Polar'!$D$6)))+((TLAR!$B$40)/(TLAR!$B$40-1))*((4*11)/($D$73))</f>
        <v>0.13872729086045188</v>
      </c>
      <c r="M129" s="15"/>
      <c r="N129" s="15"/>
      <c r="O129" s="15"/>
      <c r="P129" s="15"/>
      <c r="Q129" s="15"/>
      <c r="R129" s="15"/>
      <c r="S129" s="15"/>
      <c r="T129" s="15"/>
      <c r="U129" s="15"/>
      <c r="V129" s="15"/>
      <c r="W129" s="15"/>
      <c r="X129" s="15"/>
      <c r="Y129" s="15"/>
      <c r="Z129" s="15"/>
      <c r="AA129" s="15"/>
      <c r="AB129" s="15"/>
      <c r="AC129" s="15"/>
      <c r="AD129" s="15"/>
      <c r="AI129" s="95">
        <f t="shared" si="22"/>
        <v>120.91127710200344</v>
      </c>
      <c r="AJ129" s="96">
        <f t="shared" si="3"/>
        <v>0.3892842961278597</v>
      </c>
      <c r="AK129" s="92">
        <f t="shared" si="4"/>
        <v>43629.27237637373</v>
      </c>
      <c r="AL129" s="96">
        <f>((AK129)/(101325))*(1-(0.43+0.014*'Drag Polar'!$D$31)*SQRT(AJ129))</f>
        <v>0.29625997970243084</v>
      </c>
      <c r="AN129" s="92"/>
      <c r="AO129" s="95">
        <f t="shared" si="5"/>
        <v>45.642801251921966</v>
      </c>
      <c r="AP129" s="96">
        <f t="shared" si="6"/>
        <v>0.13412628939577795</v>
      </c>
      <c r="AQ129" s="92">
        <f t="shared" si="7"/>
        <v>102606.72488789108</v>
      </c>
      <c r="AR129" s="96">
        <f>((AQ129)/(101325))*(1-(0.43+0.014*'Drag Polar'!$D$31)*SQRT(AP129))</f>
        <v>0.8272170049441383</v>
      </c>
      <c r="AS129" s="92"/>
      <c r="AT129" s="92"/>
      <c r="AU129" s="95">
        <f t="shared" si="8"/>
        <v>51.030203141405003</v>
      </c>
      <c r="AV129" s="96">
        <f t="shared" si="9"/>
        <v>0.14995775032938433</v>
      </c>
      <c r="AW129" s="92">
        <f t="shared" si="10"/>
        <v>102928.95670474044</v>
      </c>
      <c r="AX129" s="96">
        <f>((AW129)/(101325))*(1-(0.43+0.014*'Drag Polar'!$D$31)*SQRT(AV129))</f>
        <v>0.81914292847357173</v>
      </c>
      <c r="AY129" s="92"/>
      <c r="AZ129" s="92"/>
      <c r="BA129" s="95">
        <f t="shared" si="11"/>
        <v>51.030203141405003</v>
      </c>
      <c r="BB129" s="96">
        <f t="shared" si="12"/>
        <v>0.14995775032938433</v>
      </c>
      <c r="BC129" s="92">
        <f t="shared" si="13"/>
        <v>102928.95670474044</v>
      </c>
      <c r="BD129" s="96">
        <f>((BC129)/(101325))*(1-(0.43+0.014*'Drag Polar'!$D$31)*SQRT(BB129))</f>
        <v>0.81914292847357173</v>
      </c>
      <c r="BE129" s="92"/>
      <c r="BF129" s="92"/>
      <c r="BG129" s="95">
        <f t="shared" si="14"/>
        <v>51.030203141405003</v>
      </c>
      <c r="BH129" s="96">
        <f t="shared" si="15"/>
        <v>0.14995775032938433</v>
      </c>
      <c r="BI129" s="92">
        <f t="shared" si="16"/>
        <v>102928.95670474044</v>
      </c>
      <c r="BJ129" s="96">
        <f>((BI129)/(101325))*(1-(0.43+0.014*'Drag Polar'!$D$31)*SQRT(BH129))</f>
        <v>0.81914292847357173</v>
      </c>
      <c r="BK129" s="92"/>
      <c r="BL129" s="92"/>
      <c r="BM129" s="95">
        <f t="shared" si="17"/>
        <v>45.642801251921966</v>
      </c>
      <c r="BN129" s="96">
        <f t="shared" si="18"/>
        <v>0.13412628939577795</v>
      </c>
      <c r="BO129" s="92">
        <f t="shared" si="19"/>
        <v>102606.72488789108</v>
      </c>
      <c r="BP129" s="96">
        <f>((BO129)/(101325))*(1-(0.43+0.014*'Drag Polar'!$D$31)*SQRT(BN129))</f>
        <v>0.8272170049441383</v>
      </c>
      <c r="BQ129" s="92"/>
      <c r="BR129" s="92"/>
      <c r="BS129" s="95">
        <f t="shared" si="0"/>
        <v>120.91127710200344</v>
      </c>
      <c r="BT129" s="96">
        <f t="shared" si="20"/>
        <v>0.3892842961278597</v>
      </c>
      <c r="BU129" s="92">
        <f t="shared" si="21"/>
        <v>43629.27237637373</v>
      </c>
      <c r="BV129" s="96">
        <f>((BU129)/(101325))*(1-(0.43+0.014*'Drag Polar'!$D$31)*SQRT(BT129))</f>
        <v>0.29625997970243084</v>
      </c>
      <c r="BW129" s="92"/>
      <c r="BX129" s="92"/>
      <c r="BY129" s="92"/>
    </row>
    <row r="130" spans="1:77">
      <c r="A130" s="15"/>
      <c r="B130" s="88">
        <v>3000</v>
      </c>
      <c r="C130" s="89">
        <f t="shared" si="1"/>
        <v>5379.4075927863296</v>
      </c>
      <c r="D130" s="89">
        <f t="shared" si="2"/>
        <v>5788.633461047255</v>
      </c>
      <c r="E130" s="90">
        <f>(TLAR!$B$21/$AN$96)*(('Drag Polar'!$D$39*0.5*(1.225*0.3345)*Sheet1!$C$5^2)/(TLAR!$B$21*B130)+(TLAR!$B$21*B130)/('Drag Polar'!$D$26*PI()*'Drag Polar'!$D$6*0.5*(1.225*0.3345)*Sheet1!$C$5^2))</f>
        <v>0.46122420738446618</v>
      </c>
      <c r="F130" s="90">
        <f>((TLAR!$B$21/AL130))*(SQRT(($D$47^2*(1.225*0.3345)*SQRT(Sheet1!$C$9))/((TLAR!$B$21*B130*2)))+2*SQRT(Sheet1!$C$10))</f>
        <v>0.30630606918283382</v>
      </c>
      <c r="G130" s="97">
        <f>((TLAR!$B$40)/(TLAR!$B$40-0))*(TLAR!$F$6/AR130)*((TLAR!$F$11*0.01)+2*SQRT(($D$64)/(PI()*'Drag Polar'!$D$6*$D$65)))</f>
        <v>0.17995885057673758</v>
      </c>
      <c r="H130" s="97">
        <f>((TLAR!$B$40)/(TLAR!$B$40-1))*(TLAR!$F$14/AX130)*((TLAR!$F$19*0.01)+2*SQRT(($E$64)/(PI()*'Drag Polar'!$D$6*$E$65)))</f>
        <v>0.25455228646510714</v>
      </c>
      <c r="I130" s="97">
        <f>((TLAR!$B$40)/(TLAR!$B$40-1))*(TLAR!$F$21/BD130)*((TLAR!$F$26*0.01)+2*SQRT(($F$64)/(PI()*'Drag Polar'!$D$6*$F$65)))</f>
        <v>0.27235528309937446</v>
      </c>
      <c r="J130" s="97">
        <f>((TLAR!$B$40)/(TLAR!$B$40-1))*(TLAR!$F$28/BJ130)*((TLAR!$F$33*0.01)+2*SQRT(($G$64)/(PI()*'Drag Polar'!$D$6*$G$65)))</f>
        <v>0.18145408606411886</v>
      </c>
      <c r="K130" s="97">
        <f>((TLAR!$B$40)/(TLAR!$B$40-1))*(TLAR!$F$35/BP130)*((TLAR!$F$40*0.01)+2*SQRT(($H$64)/(PI()*'Drag Polar'!$D$6*$H$65)))</f>
        <v>0.22589195103034368</v>
      </c>
      <c r="L130" s="15">
        <f>1.15*SQRT(((TLAR!$B$40)/(TLAR!$B$40-1))*((B130)/($D$73*0.85*1.225*9.81*PI()*'Drag Polar'!$E$42*'Drag Polar'!$D$6)))+((TLAR!$B$40)/(TLAR!$B$40-1))*((4*11)/($D$73))</f>
        <v>0.14053753258748924</v>
      </c>
      <c r="M130" s="15"/>
      <c r="N130" s="15"/>
      <c r="O130" s="15"/>
      <c r="P130" s="15"/>
      <c r="Q130" s="15"/>
      <c r="R130" s="15"/>
      <c r="S130" s="15"/>
      <c r="T130" s="15"/>
      <c r="U130" s="15"/>
      <c r="V130" s="15"/>
      <c r="W130" s="15"/>
      <c r="X130" s="15"/>
      <c r="Y130" s="15"/>
      <c r="Z130" s="15"/>
      <c r="AA130" s="15"/>
      <c r="AB130" s="15"/>
      <c r="AC130" s="15"/>
      <c r="AD130" s="15"/>
      <c r="AI130" s="95">
        <f t="shared" si="22"/>
        <v>122.97828626857668</v>
      </c>
      <c r="AJ130" s="96">
        <f t="shared" si="3"/>
        <v>0.39593921060552645</v>
      </c>
      <c r="AK130" s="92">
        <f t="shared" si="4"/>
        <v>43784.366420449267</v>
      </c>
      <c r="AL130" s="96">
        <f>((AK130)/(101325))*(1-(0.43+0.014*'Drag Polar'!$D$31)*SQRT(AJ130))</f>
        <v>0.29616574968701587</v>
      </c>
      <c r="AN130" s="92"/>
      <c r="AO130" s="95">
        <f t="shared" si="5"/>
        <v>46.423076597919774</v>
      </c>
      <c r="AP130" s="96">
        <f t="shared" si="6"/>
        <v>0.13641921257303991</v>
      </c>
      <c r="AQ130" s="92">
        <f t="shared" si="7"/>
        <v>102651.12775591726</v>
      </c>
      <c r="AR130" s="96">
        <f>((AQ130)/(101325))*(1-(0.43+0.014*'Drag Polar'!$D$31)*SQRT(AP130))</f>
        <v>0.8259960061536592</v>
      </c>
      <c r="AS130" s="92"/>
      <c r="AT130" s="92"/>
      <c r="AU130" s="95">
        <f t="shared" si="8"/>
        <v>51.902577498814139</v>
      </c>
      <c r="AV130" s="96">
        <f t="shared" si="9"/>
        <v>0.15252131637515559</v>
      </c>
      <c r="AW130" s="92">
        <f t="shared" si="10"/>
        <v>102984.58687802858</v>
      </c>
      <c r="AX130" s="96">
        <f>((AW130)/(101325))*(1-(0.43+0.014*'Drag Polar'!$D$31)*SQRT(AV130))</f>
        <v>0.81791066518594768</v>
      </c>
      <c r="AY130" s="92"/>
      <c r="AZ130" s="92"/>
      <c r="BA130" s="95">
        <f t="shared" si="11"/>
        <v>51.902577498814139</v>
      </c>
      <c r="BB130" s="96">
        <f t="shared" si="12"/>
        <v>0.15252131637515559</v>
      </c>
      <c r="BC130" s="92">
        <f t="shared" si="13"/>
        <v>102984.58687802858</v>
      </c>
      <c r="BD130" s="96">
        <f>((BC130)/(101325))*(1-(0.43+0.014*'Drag Polar'!$D$31)*SQRT(BB130))</f>
        <v>0.81791066518594768</v>
      </c>
      <c r="BE130" s="92"/>
      <c r="BF130" s="92"/>
      <c r="BG130" s="95">
        <f t="shared" si="14"/>
        <v>51.902577498814139</v>
      </c>
      <c r="BH130" s="96">
        <f t="shared" si="15"/>
        <v>0.15252131637515559</v>
      </c>
      <c r="BI130" s="92">
        <f t="shared" si="16"/>
        <v>102984.58687802858</v>
      </c>
      <c r="BJ130" s="96">
        <f>((BI130)/(101325))*(1-(0.43+0.014*'Drag Polar'!$D$31)*SQRT(BH130))</f>
        <v>0.81791066518594768</v>
      </c>
      <c r="BK130" s="92"/>
      <c r="BL130" s="92"/>
      <c r="BM130" s="95">
        <f t="shared" si="17"/>
        <v>46.423076597919774</v>
      </c>
      <c r="BN130" s="96">
        <f t="shared" si="18"/>
        <v>0.13641921257303991</v>
      </c>
      <c r="BO130" s="92">
        <f t="shared" si="19"/>
        <v>102651.12775591726</v>
      </c>
      <c r="BP130" s="96">
        <f>((BO130)/(101325))*(1-(0.43+0.014*'Drag Polar'!$D$31)*SQRT(BN130))</f>
        <v>0.8259960061536592</v>
      </c>
      <c r="BQ130" s="92"/>
      <c r="BR130" s="92"/>
      <c r="BS130" s="95">
        <f t="shared" si="0"/>
        <v>122.97828626857668</v>
      </c>
      <c r="BT130" s="96">
        <f t="shared" si="20"/>
        <v>0.39593921060552645</v>
      </c>
      <c r="BU130" s="92">
        <f t="shared" si="21"/>
        <v>43784.366420449267</v>
      </c>
      <c r="BV130" s="96">
        <f>((BU130)/(101325))*(1-(0.43+0.014*'Drag Polar'!$D$31)*SQRT(BT130))</f>
        <v>0.29616574968701587</v>
      </c>
      <c r="BW130" s="92"/>
      <c r="BX130" s="92"/>
      <c r="BY130" s="92"/>
    </row>
    <row r="131" spans="1:77">
      <c r="A131" s="15"/>
      <c r="B131" s="88">
        <v>3100</v>
      </c>
      <c r="C131" s="89">
        <f t="shared" si="1"/>
        <v>5379.4075927863296</v>
      </c>
      <c r="D131" s="89">
        <f t="shared" si="2"/>
        <v>5788.633461047255</v>
      </c>
      <c r="E131" s="90">
        <f>(TLAR!$B$21/$AN$96)*(('Drag Polar'!$D$39*0.5*(1.225*0.3345)*Sheet1!$C$5^2)/(TLAR!$B$21*B131)+(TLAR!$B$21*B131)/('Drag Polar'!$D$26*PI()*'Drag Polar'!$D$6*0.5*(1.225*0.3345)*Sheet1!$C$5^2))</f>
        <v>0.44933110639726775</v>
      </c>
      <c r="F131" s="90">
        <f>((TLAR!$B$21/AL131))*(SQRT(($D$47^2*(1.225*0.3345)*SQRT(Sheet1!$C$9))/((TLAR!$B$21*B131*2)))+2*SQRT(Sheet1!$C$10))</f>
        <v>0.30464319652204574</v>
      </c>
      <c r="G131" s="97">
        <f>((TLAR!$B$40)/(TLAR!$B$40-0))*(TLAR!$F$6/AR131)*((TLAR!$F$11*0.01)+2*SQRT(($D$64)/(PI()*'Drag Polar'!$D$6*$D$65)))</f>
        <v>0.18021701222741221</v>
      </c>
      <c r="H131" s="97">
        <f>((TLAR!$B$40)/(TLAR!$B$40-1))*(TLAR!$F$14/AX131)*((TLAR!$F$19*0.01)+2*SQRT(($E$64)/(PI()*'Drag Polar'!$D$6*$E$65)))</f>
        <v>0.2549239657965619</v>
      </c>
      <c r="I131" s="97">
        <f>((TLAR!$B$40)/(TLAR!$B$40-1))*(TLAR!$F$21/BD131)*((TLAR!$F$26*0.01)+2*SQRT(($F$64)/(PI()*'Drag Polar'!$D$6*$F$65)))</f>
        <v>0.27275295711341013</v>
      </c>
      <c r="J131" s="97">
        <f>((TLAR!$B$40)/(TLAR!$B$40-1))*(TLAR!$F$28/BJ131)*((TLAR!$F$33*0.01)+2*SQRT(($G$64)/(PI()*'Drag Polar'!$D$6*$G$65)))</f>
        <v>0.18171903254853117</v>
      </c>
      <c r="K131" s="97">
        <f>((TLAR!$B$40)/(TLAR!$B$40-1))*(TLAR!$F$35/BP131)*((TLAR!$F$40*0.01)+2*SQRT(($H$64)/(PI()*'Drag Polar'!$D$6*$H$65)))</f>
        <v>0.2262160064394842</v>
      </c>
      <c r="L131" s="15">
        <f>1.15*SQRT(((TLAR!$B$40)/(TLAR!$B$40-1))*((B131)/($D$73*0.85*1.225*9.81*PI()*'Drag Polar'!$E$42*'Drag Polar'!$D$6)))+((TLAR!$B$40)/(TLAR!$B$40-1))*((4*11)/($D$73))</f>
        <v>0.14231784677842946</v>
      </c>
      <c r="M131" s="15"/>
      <c r="N131" s="15"/>
      <c r="O131" s="15"/>
      <c r="P131" s="15"/>
      <c r="Q131" s="15"/>
      <c r="R131" s="15"/>
      <c r="S131" s="15"/>
      <c r="T131" s="15"/>
      <c r="U131" s="15"/>
      <c r="V131" s="15"/>
      <c r="W131" s="15"/>
      <c r="X131" s="15"/>
      <c r="Y131" s="15"/>
      <c r="Z131" s="15"/>
      <c r="AA131" s="15"/>
      <c r="AB131" s="15"/>
      <c r="AC131" s="15"/>
      <c r="AD131" s="15"/>
      <c r="AI131" s="95">
        <f t="shared" si="22"/>
        <v>125.01112293181966</v>
      </c>
      <c r="AJ131" s="96">
        <f t="shared" si="3"/>
        <v>0.40248410375826227</v>
      </c>
      <c r="AK131" s="92">
        <f t="shared" si="4"/>
        <v>43939.853872835527</v>
      </c>
      <c r="AL131" s="96">
        <f>((AK131)/(101325))*(1-(0.43+0.014*'Drag Polar'!$D$31)*SQRT(AJ131))</f>
        <v>0.29609447856026017</v>
      </c>
      <c r="AN131" s="92"/>
      <c r="AO131" s="95">
        <f t="shared" si="5"/>
        <v>47.190452164714465</v>
      </c>
      <c r="AP131" s="96">
        <f t="shared" si="6"/>
        <v>0.13867422835918911</v>
      </c>
      <c r="AQ131" s="92">
        <f t="shared" si="7"/>
        <v>102695.54434743093</v>
      </c>
      <c r="AR131" s="96">
        <f>((AQ131)/(101325))*(1-(0.43+0.014*'Drag Polar'!$D$31)*SQRT(AP131))</f>
        <v>0.8248127632968183</v>
      </c>
      <c r="AS131" s="92"/>
      <c r="AT131" s="92"/>
      <c r="AU131" s="95">
        <f t="shared" si="8"/>
        <v>52.760529464626821</v>
      </c>
      <c r="AV131" s="96">
        <f t="shared" si="9"/>
        <v>0.15504250066923797</v>
      </c>
      <c r="AW131" s="92">
        <f t="shared" si="10"/>
        <v>103040.23852409127</v>
      </c>
      <c r="AX131" s="96">
        <f>((AW131)/(101325))*(1-(0.43+0.014*'Drag Polar'!$D$31)*SQRT(AV131))</f>
        <v>0.81671815082867216</v>
      </c>
      <c r="AY131" s="92"/>
      <c r="AZ131" s="92"/>
      <c r="BA131" s="95">
        <f t="shared" si="11"/>
        <v>52.760529464626821</v>
      </c>
      <c r="BB131" s="96">
        <f t="shared" si="12"/>
        <v>0.15504250066923797</v>
      </c>
      <c r="BC131" s="92">
        <f t="shared" si="13"/>
        <v>103040.23852409127</v>
      </c>
      <c r="BD131" s="96">
        <f>((BC131)/(101325))*(1-(0.43+0.014*'Drag Polar'!$D$31)*SQRT(BB131))</f>
        <v>0.81671815082867216</v>
      </c>
      <c r="BE131" s="92"/>
      <c r="BF131" s="92"/>
      <c r="BG131" s="95">
        <f t="shared" si="14"/>
        <v>52.760529464626821</v>
      </c>
      <c r="BH131" s="96">
        <f t="shared" si="15"/>
        <v>0.15504250066923797</v>
      </c>
      <c r="BI131" s="92">
        <f t="shared" si="16"/>
        <v>103040.23852409127</v>
      </c>
      <c r="BJ131" s="96">
        <f>((BI131)/(101325))*(1-(0.43+0.014*'Drag Polar'!$D$31)*SQRT(BH131))</f>
        <v>0.81671815082867216</v>
      </c>
      <c r="BK131" s="92"/>
      <c r="BL131" s="92"/>
      <c r="BM131" s="95">
        <f t="shared" si="17"/>
        <v>47.190452164714465</v>
      </c>
      <c r="BN131" s="96">
        <f t="shared" si="18"/>
        <v>0.13867422835918911</v>
      </c>
      <c r="BO131" s="92">
        <f t="shared" si="19"/>
        <v>102695.54434743093</v>
      </c>
      <c r="BP131" s="96">
        <f>((BO131)/(101325))*(1-(0.43+0.014*'Drag Polar'!$D$31)*SQRT(BN131))</f>
        <v>0.8248127632968183</v>
      </c>
      <c r="BQ131" s="92"/>
      <c r="BR131" s="92"/>
      <c r="BS131" s="95">
        <f t="shared" si="0"/>
        <v>125.01112293181966</v>
      </c>
      <c r="BT131" s="96">
        <f t="shared" si="20"/>
        <v>0.40248410375826227</v>
      </c>
      <c r="BU131" s="92">
        <f t="shared" si="21"/>
        <v>43939.853872835527</v>
      </c>
      <c r="BV131" s="96">
        <f>((BU131)/(101325))*(1-(0.43+0.014*'Drag Polar'!$D$31)*SQRT(BT131))</f>
        <v>0.29609447856026017</v>
      </c>
      <c r="BW131" s="92"/>
      <c r="BX131" s="92"/>
      <c r="BY131" s="92"/>
    </row>
    <row r="132" spans="1:77">
      <c r="A132" s="15"/>
      <c r="B132" s="88">
        <v>3200</v>
      </c>
      <c r="C132" s="89">
        <f t="shared" si="1"/>
        <v>5379.4075927863296</v>
      </c>
      <c r="D132" s="89">
        <f t="shared" si="2"/>
        <v>5788.633461047255</v>
      </c>
      <c r="E132" s="90">
        <f>(TLAR!$B$21/$AN$96)*(('Drag Polar'!$D$39*0.5*(1.225*0.3345)*Sheet1!$C$5^2)/(TLAR!$B$21*B132)+(TLAR!$B$21*B132)/('Drag Polar'!$D$26*PI()*'Drag Polar'!$D$6*0.5*(1.225*0.3345)*Sheet1!$C$5^2))</f>
        <v>0.43827613782502861</v>
      </c>
      <c r="F132" s="90">
        <f>((TLAR!$B$21/AL132))*(SQRT(($D$47^2*(1.225*0.3345)*SQRT(Sheet1!$C$9))/((TLAR!$B$21*B132*2)))+2*SQRT(Sheet1!$C$10))</f>
        <v>0.30303944039831548</v>
      </c>
      <c r="G132" s="97">
        <f>((TLAR!$B$40)/(TLAR!$B$40-0))*(TLAR!$F$6/AR132)*((TLAR!$F$11*0.01)+2*SQRT(($D$64)/(PI()*'Drag Polar'!$D$6*$D$65)))</f>
        <v>0.18046810898358762</v>
      </c>
      <c r="H132" s="97">
        <f>((TLAR!$B$40)/(TLAR!$B$40-1))*(TLAR!$F$14/AX132)*((TLAR!$F$19*0.01)+2*SQRT(($E$64)/(PI()*'Drag Polar'!$D$6*$E$65)))</f>
        <v>0.25528499201756238</v>
      </c>
      <c r="I132" s="97">
        <f>((TLAR!$B$40)/(TLAR!$B$40-1))*(TLAR!$F$21/BD132)*((TLAR!$F$26*0.01)+2*SQRT(($F$64)/(PI()*'Drag Polar'!$D$6*$F$65)))</f>
        <v>0.27313923295477982</v>
      </c>
      <c r="J132" s="97">
        <f>((TLAR!$B$40)/(TLAR!$B$40-1))*(TLAR!$F$28/BJ132)*((TLAR!$F$33*0.01)+2*SQRT(($G$64)/(PI()*'Drag Polar'!$D$6*$G$65)))</f>
        <v>0.18197638511010716</v>
      </c>
      <c r="K132" s="97">
        <f>((TLAR!$B$40)/(TLAR!$B$40-1))*(TLAR!$F$35/BP132)*((TLAR!$F$40*0.01)+2*SQRT(($H$64)/(PI()*'Drag Polar'!$D$6*$H$65)))</f>
        <v>0.22653119369461541</v>
      </c>
      <c r="L132" s="15">
        <f>1.15*SQRT(((TLAR!$B$40)/(TLAR!$B$40-1))*((B132)/($D$73*0.85*1.225*9.81*PI()*'Drag Polar'!$E$42*'Drag Polar'!$D$6)))+((TLAR!$B$40)/(TLAR!$B$40-1))*((4*11)/($D$73))</f>
        <v>0.14406967042646113</v>
      </c>
      <c r="M132" s="15"/>
      <c r="N132" s="15"/>
      <c r="O132" s="15"/>
      <c r="P132" s="15"/>
      <c r="Q132" s="15"/>
      <c r="R132" s="15"/>
      <c r="S132" s="15"/>
      <c r="T132" s="15"/>
      <c r="U132" s="15"/>
      <c r="V132" s="15"/>
      <c r="W132" s="15"/>
      <c r="X132" s="15"/>
      <c r="Y132" s="15"/>
      <c r="Z132" s="15"/>
      <c r="AA132" s="15"/>
      <c r="AB132" s="15"/>
      <c r="AC132" s="15"/>
      <c r="AD132" s="15"/>
      <c r="AI132" s="95">
        <f t="shared" si="22"/>
        <v>127.01142791022019</v>
      </c>
      <c r="AJ132" s="96">
        <f t="shared" si="3"/>
        <v>0.40892425834285728</v>
      </c>
      <c r="AK132" s="92">
        <f t="shared" si="4"/>
        <v>44095.735331672571</v>
      </c>
      <c r="AL132" s="96">
        <f>((AK132)/(101325))*(1-(0.43+0.014*'Drag Polar'!$D$31)*SQRT(AJ132))</f>
        <v>0.29604484984269985</v>
      </c>
      <c r="AN132" s="92"/>
      <c r="AO132" s="95">
        <f t="shared" si="5"/>
        <v>47.945547344921209</v>
      </c>
      <c r="AP132" s="96">
        <f t="shared" si="6"/>
        <v>0.14089315690616347</v>
      </c>
      <c r="AQ132" s="92">
        <f t="shared" si="7"/>
        <v>102739.97466497676</v>
      </c>
      <c r="AR132" s="96">
        <f>((AQ132)/(101325))*(1-(0.43+0.014*'Drag Polar'!$D$31)*SQRT(AP132))</f>
        <v>0.82366514884857955</v>
      </c>
      <c r="AS132" s="92"/>
      <c r="AT132" s="92"/>
      <c r="AU132" s="95">
        <f t="shared" si="8"/>
        <v>53.604751540839189</v>
      </c>
      <c r="AV132" s="96">
        <f t="shared" si="9"/>
        <v>0.15752333820336273</v>
      </c>
      <c r="AW132" s="92">
        <f t="shared" si="10"/>
        <v>103095.91164790072</v>
      </c>
      <c r="AX132" s="96">
        <f>((AW132)/(101325))*(1-(0.43+0.014*'Drag Polar'!$D$31)*SQRT(AV132))</f>
        <v>0.8155631410285038</v>
      </c>
      <c r="AY132" s="92"/>
      <c r="AZ132" s="92"/>
      <c r="BA132" s="95">
        <f t="shared" si="11"/>
        <v>53.604751540839189</v>
      </c>
      <c r="BB132" s="96">
        <f t="shared" si="12"/>
        <v>0.15752333820336273</v>
      </c>
      <c r="BC132" s="92">
        <f t="shared" si="13"/>
        <v>103095.91164790072</v>
      </c>
      <c r="BD132" s="96">
        <f>((BC132)/(101325))*(1-(0.43+0.014*'Drag Polar'!$D$31)*SQRT(BB132))</f>
        <v>0.8155631410285038</v>
      </c>
      <c r="BE132" s="92"/>
      <c r="BF132" s="92"/>
      <c r="BG132" s="95">
        <f t="shared" si="14"/>
        <v>53.604751540839189</v>
      </c>
      <c r="BH132" s="96">
        <f t="shared" si="15"/>
        <v>0.15752333820336273</v>
      </c>
      <c r="BI132" s="92">
        <f t="shared" si="16"/>
        <v>103095.91164790072</v>
      </c>
      <c r="BJ132" s="96">
        <f>((BI132)/(101325))*(1-(0.43+0.014*'Drag Polar'!$D$31)*SQRT(BH132))</f>
        <v>0.8155631410285038</v>
      </c>
      <c r="BK132" s="92"/>
      <c r="BL132" s="92"/>
      <c r="BM132" s="95">
        <f t="shared" si="17"/>
        <v>47.945547344921209</v>
      </c>
      <c r="BN132" s="96">
        <f t="shared" si="18"/>
        <v>0.14089315690616347</v>
      </c>
      <c r="BO132" s="92">
        <f t="shared" si="19"/>
        <v>102739.97466497676</v>
      </c>
      <c r="BP132" s="96">
        <f>((BO132)/(101325))*(1-(0.43+0.014*'Drag Polar'!$D$31)*SQRT(BN132))</f>
        <v>0.82366514884857955</v>
      </c>
      <c r="BQ132" s="92"/>
      <c r="BR132" s="92"/>
      <c r="BS132" s="95">
        <f t="shared" si="0"/>
        <v>127.01142791022019</v>
      </c>
      <c r="BT132" s="96">
        <f t="shared" si="20"/>
        <v>0.40892425834285728</v>
      </c>
      <c r="BU132" s="92">
        <f t="shared" si="21"/>
        <v>44095.735331672571</v>
      </c>
      <c r="BV132" s="96">
        <f>((BU132)/(101325))*(1-(0.43+0.014*'Drag Polar'!$D$31)*SQRT(BT132))</f>
        <v>0.29604484984269985</v>
      </c>
      <c r="BW132" s="92"/>
      <c r="BX132" s="92"/>
      <c r="BY132" s="92"/>
    </row>
    <row r="133" spans="1:77">
      <c r="A133" s="15"/>
      <c r="B133" s="88">
        <v>3300</v>
      </c>
      <c r="C133" s="89">
        <f t="shared" si="1"/>
        <v>5379.4075927863296</v>
      </c>
      <c r="D133" s="89">
        <f t="shared" si="2"/>
        <v>5788.633461047255</v>
      </c>
      <c r="E133" s="90">
        <f>(TLAR!$B$21/$AN$96)*(('Drag Polar'!$D$39*0.5*(1.225*0.3345)*Sheet1!$C$5^2)/(TLAR!$B$21*B133)+(TLAR!$B$21*B133)/('Drag Polar'!$D$26*PI()*'Drag Polar'!$D$6*0.5*(1.225*0.3345)*Sheet1!$C$5^2))</f>
        <v>0.42798310781184362</v>
      </c>
      <c r="F133" s="90">
        <f>((TLAR!$B$21/AL133))*(SQRT(($D$47^2*(1.225*0.3345)*SQRT(Sheet1!$C$9))/((TLAR!$B$21*B133*2)))+2*SQRT(Sheet1!$C$10))</f>
        <v>0.30149014022299431</v>
      </c>
      <c r="G133" s="97">
        <f>((TLAR!$B$40)/(TLAR!$B$40-0))*(TLAR!$F$6/AR133)*((TLAR!$F$11*0.01)+2*SQRT(($D$64)/(PI()*'Drag Polar'!$D$6*$D$65)))</f>
        <v>0.18071250620859422</v>
      </c>
      <c r="H133" s="97">
        <f>((TLAR!$B$40)/(TLAR!$B$40-1))*(TLAR!$F$14/AX133)*((TLAR!$F$19*0.01)+2*SQRT(($E$64)/(PI()*'Drag Polar'!$D$6*$E$65)))</f>
        <v>0.2556359142813085</v>
      </c>
      <c r="I133" s="97">
        <f>((TLAR!$B$40)/(TLAR!$B$40-1))*(TLAR!$F$21/BD133)*((TLAR!$F$26*0.01)+2*SQRT(($F$64)/(PI()*'Drag Polar'!$D$6*$F$65)))</f>
        <v>0.27351469818361618</v>
      </c>
      <c r="J133" s="97">
        <f>((TLAR!$B$40)/(TLAR!$B$40-1))*(TLAR!$F$28/BJ133)*((TLAR!$F$33*0.01)+2*SQRT(($G$64)/(PI()*'Drag Polar'!$D$6*$G$65)))</f>
        <v>0.1822265352051303</v>
      </c>
      <c r="K133" s="97">
        <f>((TLAR!$B$40)/(TLAR!$B$40-1))*(TLAR!$F$35/BP133)*((TLAR!$F$40*0.01)+2*SQRT(($H$64)/(PI()*'Drag Polar'!$D$6*$H$65)))</f>
        <v>0.22683797141522333</v>
      </c>
      <c r="L133" s="15">
        <f>1.15*SQRT(((TLAR!$B$40)/(TLAR!$B$40-1))*((B133)/($D$73*0.85*1.225*9.81*PI()*'Drag Polar'!$E$42*'Drag Polar'!$D$6)))+((TLAR!$B$40)/(TLAR!$B$40-1))*((4*11)/($D$73))</f>
        <v>0.14579432908112788</v>
      </c>
      <c r="M133" s="15"/>
      <c r="N133" s="15"/>
      <c r="O133" s="15"/>
      <c r="P133" s="15"/>
      <c r="Q133" s="15"/>
      <c r="R133" s="15"/>
      <c r="S133" s="15"/>
      <c r="T133" s="15"/>
      <c r="U133" s="15"/>
      <c r="V133" s="15"/>
      <c r="W133" s="15"/>
      <c r="X133" s="15"/>
      <c r="Y133" s="15"/>
      <c r="Z133" s="15"/>
      <c r="AA133" s="15"/>
      <c r="AB133" s="15"/>
      <c r="AC133" s="15"/>
      <c r="AD133" s="15"/>
      <c r="AI133" s="95">
        <f t="shared" si="22"/>
        <v>128.98071477128508</v>
      </c>
      <c r="AJ133" s="96">
        <f t="shared" si="3"/>
        <v>0.41526454742058122</v>
      </c>
      <c r="AK133" s="92">
        <f t="shared" si="4"/>
        <v>44252.011395403424</v>
      </c>
      <c r="AL133" s="96">
        <f>((AK133)/(101325))*(1-(0.43+0.014*'Drag Polar'!$D$31)*SQRT(AJ133))</f>
        <v>0.29601566173322053</v>
      </c>
      <c r="AN133" s="92"/>
      <c r="AO133" s="95">
        <f t="shared" si="5"/>
        <v>48.688933495178951</v>
      </c>
      <c r="AP133" s="96">
        <f t="shared" si="6"/>
        <v>0.14307767720700904</v>
      </c>
      <c r="AQ133" s="92">
        <f t="shared" si="7"/>
        <v>102784.41871109941</v>
      </c>
      <c r="AR133" s="96">
        <f>((AQ133)/(101325))*(1-(0.43+0.014*'Drag Polar'!$D$31)*SQRT(AP133))</f>
        <v>0.82255121666460052</v>
      </c>
      <c r="AS133" s="92"/>
      <c r="AT133" s="92"/>
      <c r="AU133" s="95">
        <f t="shared" si="8"/>
        <v>54.435882523593285</v>
      </c>
      <c r="AV133" s="96">
        <f t="shared" si="9"/>
        <v>0.15996570614882222</v>
      </c>
      <c r="AW133" s="92">
        <f t="shared" si="10"/>
        <v>103151.60625442944</v>
      </c>
      <c r="AX133" s="96">
        <f>((AW133)/(101325))*(1-(0.43+0.014*'Drag Polar'!$D$31)*SQRT(AV133))</f>
        <v>0.81444358290818963</v>
      </c>
      <c r="AY133" s="92"/>
      <c r="AZ133" s="92"/>
      <c r="BA133" s="95">
        <f t="shared" si="11"/>
        <v>54.435882523593285</v>
      </c>
      <c r="BB133" s="96">
        <f t="shared" si="12"/>
        <v>0.15996570614882222</v>
      </c>
      <c r="BC133" s="92">
        <f t="shared" si="13"/>
        <v>103151.60625442944</v>
      </c>
      <c r="BD133" s="96">
        <f>((BC133)/(101325))*(1-(0.43+0.014*'Drag Polar'!$D$31)*SQRT(BB133))</f>
        <v>0.81444358290818963</v>
      </c>
      <c r="BE133" s="92"/>
      <c r="BF133" s="92"/>
      <c r="BG133" s="95">
        <f t="shared" si="14"/>
        <v>54.435882523593285</v>
      </c>
      <c r="BH133" s="96">
        <f t="shared" si="15"/>
        <v>0.15996570614882222</v>
      </c>
      <c r="BI133" s="92">
        <f t="shared" si="16"/>
        <v>103151.60625442944</v>
      </c>
      <c r="BJ133" s="96">
        <f>((BI133)/(101325))*(1-(0.43+0.014*'Drag Polar'!$D$31)*SQRT(BH133))</f>
        <v>0.81444358290818963</v>
      </c>
      <c r="BK133" s="92"/>
      <c r="BL133" s="92"/>
      <c r="BM133" s="95">
        <f t="shared" si="17"/>
        <v>48.688933495178951</v>
      </c>
      <c r="BN133" s="96">
        <f t="shared" si="18"/>
        <v>0.14307767720700904</v>
      </c>
      <c r="BO133" s="92">
        <f t="shared" si="19"/>
        <v>102784.41871109941</v>
      </c>
      <c r="BP133" s="96">
        <f>((BO133)/(101325))*(1-(0.43+0.014*'Drag Polar'!$D$31)*SQRT(BN133))</f>
        <v>0.82255121666460052</v>
      </c>
      <c r="BQ133" s="92"/>
      <c r="BR133" s="92"/>
      <c r="BS133" s="95">
        <f t="shared" si="0"/>
        <v>128.98071477128508</v>
      </c>
      <c r="BT133" s="96">
        <f t="shared" si="20"/>
        <v>0.41526454742058122</v>
      </c>
      <c r="BU133" s="92">
        <f t="shared" si="21"/>
        <v>44252.011395403424</v>
      </c>
      <c r="BV133" s="96">
        <f>((BU133)/(101325))*(1-(0.43+0.014*'Drag Polar'!$D$31)*SQRT(BT133))</f>
        <v>0.29601566173322053</v>
      </c>
      <c r="BW133" s="92"/>
      <c r="BX133" s="92"/>
      <c r="BY133" s="92"/>
    </row>
    <row r="134" spans="1:77">
      <c r="A134" s="15"/>
      <c r="B134" s="88">
        <v>3400</v>
      </c>
      <c r="C134" s="89">
        <f t="shared" si="1"/>
        <v>5379.4075927863296</v>
      </c>
      <c r="D134" s="89">
        <f t="shared" si="2"/>
        <v>5788.633461047255</v>
      </c>
      <c r="E134" s="90">
        <f>(TLAR!$B$21/$AN$96)*(('Drag Polar'!$D$39*0.5*(1.225*0.3345)*Sheet1!$C$5^2)/(TLAR!$B$21*B134)+(TLAR!$B$21*B134)/('Drag Polar'!$D$26*PI()*'Drag Polar'!$D$6*0.5*(1.225*0.3345)*Sheet1!$C$5^2))</f>
        <v>0.41838478648485494</v>
      </c>
      <c r="F134" s="90">
        <f>((TLAR!$B$21/AL134))*(SQRT(($D$47^2*(1.225*0.3345)*SQRT(Sheet1!$C$9))/((TLAR!$B$21*B134*2)))+2*SQRT(Sheet1!$C$10))</f>
        <v>0.2999911316835337</v>
      </c>
      <c r="G134" s="97">
        <f>((TLAR!$B$40)/(TLAR!$B$40-0))*(TLAR!$F$6/AR134)*((TLAR!$F$11*0.01)+2*SQRT(($D$64)/(PI()*'Drag Polar'!$D$6*$D$65)))</f>
        <v>0.18095053981949447</v>
      </c>
      <c r="H134" s="97">
        <f>((TLAR!$B$40)/(TLAR!$B$40-1))*(TLAR!$F$14/AX134)*((TLAR!$F$19*0.01)+2*SQRT(($E$64)/(PI()*'Drag Polar'!$D$6*$E$65)))</f>
        <v>0.25597723757232682</v>
      </c>
      <c r="I134" s="97">
        <f>((TLAR!$B$40)/(TLAR!$B$40-1))*(TLAR!$F$21/BD134)*((TLAR!$F$26*0.01)+2*SQRT(($F$64)/(PI()*'Drag Polar'!$D$6*$F$65)))</f>
        <v>0.27387989310228938</v>
      </c>
      <c r="J134" s="97">
        <f>((TLAR!$B$40)/(TLAR!$B$40-1))*(TLAR!$F$28/BJ134)*((TLAR!$F$33*0.01)+2*SQRT(($G$64)/(PI()*'Drag Polar'!$D$6*$G$65)))</f>
        <v>0.18246984280485448</v>
      </c>
      <c r="K134" s="97">
        <f>((TLAR!$B$40)/(TLAR!$B$40-1))*(TLAR!$F$35/BP134)*((TLAR!$F$40*0.01)+2*SQRT(($H$64)/(PI()*'Drag Polar'!$D$6*$H$65)))</f>
        <v>0.22713676125859431</v>
      </c>
      <c r="L134" s="15">
        <f>1.15*SQRT(((TLAR!$B$40)/(TLAR!$B$40-1))*((B134)/($D$73*0.85*1.225*9.81*PI()*'Drag Polar'!$E$42*'Drag Polar'!$D$6)))+((TLAR!$B$40)/(TLAR!$B$40-1))*((4*11)/($D$73))</f>
        <v>0.14749304858555284</v>
      </c>
      <c r="M134" s="15"/>
      <c r="N134" s="15"/>
      <c r="O134" s="15"/>
      <c r="P134" s="15"/>
      <c r="Q134" s="15"/>
      <c r="R134" s="15"/>
      <c r="S134" s="15"/>
      <c r="T134" s="15"/>
      <c r="U134" s="15"/>
      <c r="V134" s="15"/>
      <c r="W134" s="15"/>
      <c r="X134" s="15"/>
      <c r="Y134" s="15"/>
      <c r="Z134" s="15"/>
      <c r="AA134" s="15"/>
      <c r="AB134" s="15"/>
      <c r="AC134" s="15"/>
      <c r="AD134" s="15"/>
      <c r="AI134" s="95">
        <f t="shared" si="22"/>
        <v>130.9203832335902</v>
      </c>
      <c r="AJ134" s="96">
        <f t="shared" si="3"/>
        <v>0.42150947750624107</v>
      </c>
      <c r="AK134" s="92">
        <f t="shared" si="4"/>
        <v>44408.68266277363</v>
      </c>
      <c r="AL134" s="96">
        <f>((AK134)/(101325))*(1-(0.43+0.014*'Drag Polar'!$D$31)*SQRT(AJ134))</f>
        <v>0.2960058140565569</v>
      </c>
      <c r="AN134" s="92"/>
      <c r="AO134" s="95">
        <f t="shared" si="5"/>
        <v>49.421138995290633</v>
      </c>
      <c r="AP134" s="96">
        <f t="shared" si="6"/>
        <v>0.14522934196270856</v>
      </c>
      <c r="AQ134" s="92">
        <f t="shared" si="7"/>
        <v>102828.87648834386</v>
      </c>
      <c r="AR134" s="96">
        <f>((AQ134)/(101325))*(1-(0.43+0.014*'Drag Polar'!$D$31)*SQRT(AP134))</f>
        <v>0.82146918156015503</v>
      </c>
      <c r="AS134" s="92"/>
      <c r="AT134" s="92"/>
      <c r="AU134" s="95">
        <f t="shared" si="8"/>
        <v>55.254513159467756</v>
      </c>
      <c r="AV134" s="96">
        <f t="shared" si="9"/>
        <v>0.16237134047808954</v>
      </c>
      <c r="AW134" s="92">
        <f t="shared" si="10"/>
        <v>103207.3223486506</v>
      </c>
      <c r="AX134" s="96">
        <f>((AW134)/(101325))*(1-(0.43+0.014*'Drag Polar'!$D$31)*SQRT(AV134))</f>
        <v>0.81335759351826009</v>
      </c>
      <c r="AY134" s="92"/>
      <c r="AZ134" s="92"/>
      <c r="BA134" s="95">
        <f t="shared" si="11"/>
        <v>55.254513159467756</v>
      </c>
      <c r="BB134" s="96">
        <f t="shared" si="12"/>
        <v>0.16237134047808954</v>
      </c>
      <c r="BC134" s="92">
        <f t="shared" si="13"/>
        <v>103207.3223486506</v>
      </c>
      <c r="BD134" s="96">
        <f>((BC134)/(101325))*(1-(0.43+0.014*'Drag Polar'!$D$31)*SQRT(BB134))</f>
        <v>0.81335759351826009</v>
      </c>
      <c r="BE134" s="92"/>
      <c r="BF134" s="92"/>
      <c r="BG134" s="95">
        <f t="shared" si="14"/>
        <v>55.254513159467756</v>
      </c>
      <c r="BH134" s="96">
        <f t="shared" si="15"/>
        <v>0.16237134047808954</v>
      </c>
      <c r="BI134" s="92">
        <f t="shared" si="16"/>
        <v>103207.3223486506</v>
      </c>
      <c r="BJ134" s="96">
        <f>((BI134)/(101325))*(1-(0.43+0.014*'Drag Polar'!$D$31)*SQRT(BH134))</f>
        <v>0.81335759351826009</v>
      </c>
      <c r="BK134" s="92"/>
      <c r="BL134" s="92"/>
      <c r="BM134" s="95">
        <f t="shared" si="17"/>
        <v>49.421138995290633</v>
      </c>
      <c r="BN134" s="96">
        <f t="shared" si="18"/>
        <v>0.14522934196270856</v>
      </c>
      <c r="BO134" s="92">
        <f t="shared" si="19"/>
        <v>102828.87648834386</v>
      </c>
      <c r="BP134" s="96">
        <f>((BO134)/(101325))*(1-(0.43+0.014*'Drag Polar'!$D$31)*SQRT(BN134))</f>
        <v>0.82146918156015503</v>
      </c>
      <c r="BQ134" s="92"/>
      <c r="BR134" s="92"/>
      <c r="BS134" s="95">
        <f t="shared" si="0"/>
        <v>130.9203832335902</v>
      </c>
      <c r="BT134" s="96">
        <f t="shared" si="20"/>
        <v>0.42150947750624107</v>
      </c>
      <c r="BU134" s="92">
        <f t="shared" si="21"/>
        <v>44408.68266277363</v>
      </c>
      <c r="BV134" s="96">
        <f>((BU134)/(101325))*(1-(0.43+0.014*'Drag Polar'!$D$31)*SQRT(BT134))</f>
        <v>0.2960058140565569</v>
      </c>
      <c r="BW134" s="92"/>
      <c r="BX134" s="92"/>
      <c r="BY134" s="92"/>
    </row>
    <row r="135" spans="1:77">
      <c r="A135" s="15"/>
      <c r="B135" s="88">
        <v>3500</v>
      </c>
      <c r="C135" s="89">
        <f t="shared" si="1"/>
        <v>5379.4075927863296</v>
      </c>
      <c r="D135" s="89">
        <f t="shared" si="2"/>
        <v>5788.633461047255</v>
      </c>
      <c r="E135" s="90">
        <f>(TLAR!$B$21/$AN$96)*(('Drag Polar'!$D$39*0.5*(1.225*0.3345)*Sheet1!$C$5^2)/(TLAR!$B$21*B135)+(TLAR!$B$21*B135)/('Drag Polar'!$D$26*PI()*'Drag Polar'!$D$6*0.5*(1.225*0.3345)*Sheet1!$C$5^2))</f>
        <v>0.40942162738524579</v>
      </c>
      <c r="F135" s="90">
        <f>((TLAR!$B$21/AL135))*(SQRT(($D$47^2*(1.225*0.3345)*SQRT(Sheet1!$C$9))/((TLAR!$B$21*B135*2)))+2*SQRT(Sheet1!$C$10))</f>
        <v>0.29853868155748225</v>
      </c>
      <c r="G135" s="97">
        <f>((TLAR!$B$40)/(TLAR!$B$40-0))*(TLAR!$F$6/AR135)*((TLAR!$F$11*0.01)+2*SQRT(($D$64)/(PI()*'Drag Polar'!$D$6*$D$65)))</f>
        <v>0.18118251945615579</v>
      </c>
      <c r="H135" s="97">
        <f>((TLAR!$B$40)/(TLAR!$B$40-1))*(TLAR!$F$14/AX135)*((TLAR!$F$19*0.01)+2*SQRT(($E$64)/(PI()*'Drag Polar'!$D$6*$E$65)))</f>
        <v>0.25630942745463942</v>
      </c>
      <c r="I135" s="97">
        <f>((TLAR!$B$40)/(TLAR!$B$40-1))*(TLAR!$F$21/BD135)*((TLAR!$F$26*0.01)+2*SQRT(($F$64)/(PI()*'Drag Polar'!$D$6*$F$65)))</f>
        <v>0.27423531583565541</v>
      </c>
      <c r="J135" s="97">
        <f>((TLAR!$B$40)/(TLAR!$B$40-1))*(TLAR!$F$28/BJ135)*((TLAR!$F$33*0.01)+2*SQRT(($G$64)/(PI()*'Drag Polar'!$D$6*$G$65)))</f>
        <v>0.18270663978017077</v>
      </c>
      <c r="K135" s="97">
        <f>((TLAR!$B$40)/(TLAR!$B$40-1))*(TLAR!$F$35/BP135)*((TLAR!$F$40*0.01)+2*SQRT(($H$64)/(PI()*'Drag Polar'!$D$6*$H$65)))</f>
        <v>0.2274279518977699</v>
      </c>
      <c r="L135" s="15">
        <f>1.15*SQRT(((TLAR!$B$40)/(TLAR!$B$40-1))*((B135)/($D$73*0.85*1.225*9.81*PI()*'Drag Polar'!$E$42*'Drag Polar'!$D$6)))+((TLAR!$B$40)/(TLAR!$B$40-1))*((4*11)/($D$73))</f>
        <v>0.1491669652705756</v>
      </c>
      <c r="M135" s="15"/>
      <c r="N135" s="15"/>
      <c r="O135" s="15"/>
      <c r="P135" s="15"/>
      <c r="Q135" s="15"/>
      <c r="R135" s="15"/>
      <c r="S135" s="15"/>
      <c r="T135" s="15"/>
      <c r="U135" s="15"/>
      <c r="V135" s="15"/>
      <c r="W135" s="15"/>
      <c r="X135" s="15"/>
      <c r="Y135" s="15"/>
      <c r="Z135" s="15"/>
      <c r="AA135" s="15"/>
      <c r="AB135" s="15"/>
      <c r="AC135" s="15"/>
      <c r="AD135" s="15"/>
      <c r="AI135" s="95">
        <f t="shared" si="22"/>
        <v>132.83173080686956</v>
      </c>
      <c r="AJ135" s="96">
        <f t="shared" si="3"/>
        <v>0.42766322604445267</v>
      </c>
      <c r="AK135" s="92">
        <f t="shared" si="4"/>
        <v>44565.749732831413</v>
      </c>
      <c r="AL135" s="96">
        <f>((AK135)/(101325))*(1-(0.43+0.014*'Drag Polar'!$D$31)*SQRT(AJ135))</f>
        <v>0.29601429702873949</v>
      </c>
      <c r="AN135" s="92"/>
      <c r="AO135" s="95">
        <f t="shared" si="5"/>
        <v>50.142653642240695</v>
      </c>
      <c r="AP135" s="96">
        <f t="shared" si="6"/>
        <v>0.14734959049447549</v>
      </c>
      <c r="AQ135" s="92">
        <f t="shared" si="7"/>
        <v>102873.34799925501</v>
      </c>
      <c r="AR135" s="96">
        <f>((AQ135)/(101325))*(1-(0.43+0.014*'Drag Polar'!$D$31)*SQRT(AP135))</f>
        <v>0.82041740171495359</v>
      </c>
      <c r="AS135" s="92"/>
      <c r="AT135" s="92"/>
      <c r="AU135" s="95">
        <f t="shared" si="8"/>
        <v>56.06119105813881</v>
      </c>
      <c r="AV135" s="96">
        <f t="shared" si="9"/>
        <v>0.16474185040120204</v>
      </c>
      <c r="AW135" s="92">
        <f t="shared" si="10"/>
        <v>103263.05993553746</v>
      </c>
      <c r="AX135" s="96">
        <f>((AW135)/(101325))*(1-(0.43+0.014*'Drag Polar'!$D$31)*SQRT(AV135))</f>
        <v>0.81230344125413123</v>
      </c>
      <c r="AY135" s="92"/>
      <c r="AZ135" s="92"/>
      <c r="BA135" s="95">
        <f t="shared" si="11"/>
        <v>56.06119105813881</v>
      </c>
      <c r="BB135" s="96">
        <f t="shared" si="12"/>
        <v>0.16474185040120204</v>
      </c>
      <c r="BC135" s="92">
        <f t="shared" si="13"/>
        <v>103263.05993553746</v>
      </c>
      <c r="BD135" s="96">
        <f>((BC135)/(101325))*(1-(0.43+0.014*'Drag Polar'!$D$31)*SQRT(BB135))</f>
        <v>0.81230344125413123</v>
      </c>
      <c r="BE135" s="92"/>
      <c r="BF135" s="92"/>
      <c r="BG135" s="95">
        <f t="shared" si="14"/>
        <v>56.06119105813881</v>
      </c>
      <c r="BH135" s="96">
        <f t="shared" si="15"/>
        <v>0.16474185040120204</v>
      </c>
      <c r="BI135" s="92">
        <f t="shared" si="16"/>
        <v>103263.05993553746</v>
      </c>
      <c r="BJ135" s="96">
        <f>((BI135)/(101325))*(1-(0.43+0.014*'Drag Polar'!$D$31)*SQRT(BH135))</f>
        <v>0.81230344125413123</v>
      </c>
      <c r="BK135" s="92"/>
      <c r="BL135" s="92"/>
      <c r="BM135" s="95">
        <f t="shared" si="17"/>
        <v>50.142653642240695</v>
      </c>
      <c r="BN135" s="96">
        <f t="shared" si="18"/>
        <v>0.14734959049447549</v>
      </c>
      <c r="BO135" s="92">
        <f t="shared" si="19"/>
        <v>102873.34799925501</v>
      </c>
      <c r="BP135" s="96">
        <f>((BO135)/(101325))*(1-(0.43+0.014*'Drag Polar'!$D$31)*SQRT(BN135))</f>
        <v>0.82041740171495359</v>
      </c>
      <c r="BQ135" s="92"/>
      <c r="BR135" s="92"/>
      <c r="BS135" s="95">
        <f t="shared" si="0"/>
        <v>132.83173080686956</v>
      </c>
      <c r="BT135" s="96">
        <f t="shared" si="20"/>
        <v>0.42766322604445267</v>
      </c>
      <c r="BU135" s="92">
        <f t="shared" si="21"/>
        <v>44565.749732831413</v>
      </c>
      <c r="BV135" s="96">
        <f>((BU135)/(101325))*(1-(0.43+0.014*'Drag Polar'!$D$31)*SQRT(BT135))</f>
        <v>0.29601429702873949</v>
      </c>
      <c r="BW135" s="92"/>
      <c r="BX135" s="92"/>
      <c r="BY135" s="92"/>
    </row>
    <row r="136" spans="1:77">
      <c r="A136" s="15"/>
      <c r="B136" s="88">
        <v>3600</v>
      </c>
      <c r="C136" s="89">
        <f t="shared" si="1"/>
        <v>5379.4075927863296</v>
      </c>
      <c r="D136" s="89">
        <f t="shared" si="2"/>
        <v>5788.633461047255</v>
      </c>
      <c r="E136" s="90">
        <f>(TLAR!$B$21/$AN$96)*(('Drag Polar'!$D$39*0.5*(1.225*0.3345)*Sheet1!$C$5^2)/(TLAR!$B$21*B136)+(TLAR!$B$21*B136)/('Drag Polar'!$D$26*PI()*'Drag Polar'!$D$6*0.5*(1.225*0.3345)*Sheet1!$C$5^2))</f>
        <v>0.40104070032740119</v>
      </c>
      <c r="F136" s="90">
        <f>((TLAR!$B$21/AL136))*(SQRT(($D$47^2*(1.225*0.3345)*SQRT(Sheet1!$C$9))/((TLAR!$B$21*B136*2)))+2*SQRT(Sheet1!$C$10))</f>
        <v>0.29712943264083924</v>
      </c>
      <c r="G136" s="97">
        <f>((TLAR!$B$40)/(TLAR!$B$40-0))*(TLAR!$F$6/AR136)*((TLAR!$F$11*0.01)+2*SQRT(($D$64)/(PI()*'Drag Polar'!$D$6*$D$65)))</f>
        <v>0.1814087312287794</v>
      </c>
      <c r="H136" s="97">
        <f>((TLAR!$B$40)/(TLAR!$B$40-1))*(TLAR!$F$14/AX136)*((TLAR!$F$19*0.01)+2*SQRT(($E$64)/(PI()*'Drag Polar'!$D$6*$E$65)))</f>
        <v>0.25663291418881201</v>
      </c>
      <c r="I136" s="97">
        <f>((TLAR!$B$40)/(TLAR!$B$40-1))*(TLAR!$F$21/BD136)*((TLAR!$F$26*0.01)+2*SQRT(($F$64)/(PI()*'Drag Polar'!$D$6*$F$65)))</f>
        <v>0.27458142673604419</v>
      </c>
      <c r="J136" s="97">
        <f>((TLAR!$B$40)/(TLAR!$B$40-1))*(TLAR!$F$28/BJ136)*((TLAR!$F$33*0.01)+2*SQRT(($G$64)/(PI()*'Drag Polar'!$D$6*$G$65)))</f>
        <v>0.1829372328363883</v>
      </c>
      <c r="K136" s="97">
        <f>((TLAR!$B$40)/(TLAR!$B$40-1))*(TLAR!$F$35/BP136)*((TLAR!$F$40*0.01)+2*SQRT(($H$64)/(PI()*'Drag Polar'!$D$6*$H$65)))</f>
        <v>0.2277119024703603</v>
      </c>
      <c r="L136" s="15">
        <f>1.15*SQRT(((TLAR!$B$40)/(TLAR!$B$40-1))*((B136)/($D$73*0.85*1.225*9.81*PI()*'Drag Polar'!$E$42*'Drag Polar'!$D$6)))+((TLAR!$B$40)/(TLAR!$B$40-1))*((4*11)/($D$73))</f>
        <v>0.15081713484673864</v>
      </c>
      <c r="M136" s="15"/>
      <c r="N136" s="15"/>
      <c r="O136" s="15"/>
      <c r="P136" s="15"/>
      <c r="Q136" s="15"/>
      <c r="R136" s="15"/>
      <c r="S136" s="15"/>
      <c r="T136" s="15"/>
      <c r="U136" s="15"/>
      <c r="V136" s="15"/>
      <c r="W136" s="15"/>
      <c r="X136" s="15"/>
      <c r="Y136" s="15"/>
      <c r="Z136" s="15"/>
      <c r="AA136" s="15"/>
      <c r="AB136" s="15"/>
      <c r="AC136" s="15"/>
      <c r="AD136" s="15"/>
      <c r="AI136" s="95">
        <f t="shared" si="22"/>
        <v>134.71596294525455</v>
      </c>
      <c r="AJ136" s="96">
        <f t="shared" si="3"/>
        <v>0.43372967409887103</v>
      </c>
      <c r="AK136" s="92">
        <f t="shared" si="4"/>
        <v>44723.21320492724</v>
      </c>
      <c r="AL136" s="96">
        <f>((AK136)/(101325))*(1-(0.43+0.014*'Drag Polar'!$D$31)*SQRT(AJ136))</f>
        <v>0.29604018154336287</v>
      </c>
      <c r="AN136" s="92"/>
      <c r="AO136" s="95">
        <f t="shared" si="5"/>
        <v>50.853932482941687</v>
      </c>
      <c r="AP136" s="96">
        <f t="shared" si="6"/>
        <v>0.14943976000669265</v>
      </c>
      <c r="AQ136" s="92">
        <f t="shared" si="7"/>
        <v>102917.83324637826</v>
      </c>
      <c r="AR136" s="96">
        <f>((AQ136)/(101325))*(1-(0.43+0.014*'Drag Polar'!$D$31)*SQRT(AP136))</f>
        <v>0.81939436344399452</v>
      </c>
      <c r="AS136" s="92"/>
      <c r="AT136" s="92"/>
      <c r="AU136" s="95">
        <f t="shared" si="8"/>
        <v>56.856424977521137</v>
      </c>
      <c r="AV136" s="96">
        <f t="shared" si="9"/>
        <v>0.1670787309581096</v>
      </c>
      <c r="AW136" s="92">
        <f t="shared" si="10"/>
        <v>103318.81902006382</v>
      </c>
      <c r="AX136" s="96">
        <f>((AW136)/(101325))*(1-(0.43+0.014*'Drag Polar'!$D$31)*SQRT(AV136))</f>
        <v>0.81127952977263229</v>
      </c>
      <c r="AY136" s="92"/>
      <c r="AZ136" s="92"/>
      <c r="BA136" s="95">
        <f t="shared" si="11"/>
        <v>56.856424977521137</v>
      </c>
      <c r="BB136" s="96">
        <f t="shared" si="12"/>
        <v>0.1670787309581096</v>
      </c>
      <c r="BC136" s="92">
        <f t="shared" si="13"/>
        <v>103318.81902006382</v>
      </c>
      <c r="BD136" s="96">
        <f>((BC136)/(101325))*(1-(0.43+0.014*'Drag Polar'!$D$31)*SQRT(BB136))</f>
        <v>0.81127952977263229</v>
      </c>
      <c r="BE136" s="92"/>
      <c r="BF136" s="92"/>
      <c r="BG136" s="95">
        <f t="shared" si="14"/>
        <v>56.856424977521137</v>
      </c>
      <c r="BH136" s="96">
        <f t="shared" si="15"/>
        <v>0.1670787309581096</v>
      </c>
      <c r="BI136" s="92">
        <f t="shared" si="16"/>
        <v>103318.81902006382</v>
      </c>
      <c r="BJ136" s="96">
        <f>((BI136)/(101325))*(1-(0.43+0.014*'Drag Polar'!$D$31)*SQRT(BH136))</f>
        <v>0.81127952977263229</v>
      </c>
      <c r="BK136" s="92"/>
      <c r="BL136" s="92"/>
      <c r="BM136" s="95">
        <f t="shared" si="17"/>
        <v>50.853932482941687</v>
      </c>
      <c r="BN136" s="96">
        <f t="shared" si="18"/>
        <v>0.14943976000669265</v>
      </c>
      <c r="BO136" s="92">
        <f t="shared" si="19"/>
        <v>102917.83324637826</v>
      </c>
      <c r="BP136" s="96">
        <f>((BO136)/(101325))*(1-(0.43+0.014*'Drag Polar'!$D$31)*SQRT(BN136))</f>
        <v>0.81939436344399452</v>
      </c>
      <c r="BQ136" s="92"/>
      <c r="BR136" s="92"/>
      <c r="BS136" s="95">
        <f t="shared" si="0"/>
        <v>134.71596294525455</v>
      </c>
      <c r="BT136" s="96">
        <f t="shared" si="20"/>
        <v>0.43372967409887103</v>
      </c>
      <c r="BU136" s="92">
        <f t="shared" si="21"/>
        <v>44723.21320492724</v>
      </c>
      <c r="BV136" s="96">
        <f>((BU136)/(101325))*(1-(0.43+0.014*'Drag Polar'!$D$31)*SQRT(BT136))</f>
        <v>0.29604018154336287</v>
      </c>
      <c r="BW136" s="92"/>
      <c r="BX136" s="92"/>
      <c r="BY136" s="92"/>
    </row>
    <row r="137" spans="1:77">
      <c r="A137" s="15"/>
      <c r="B137" s="88">
        <v>3700</v>
      </c>
      <c r="C137" s="89">
        <f t="shared" si="1"/>
        <v>5379.4075927863296</v>
      </c>
      <c r="D137" s="89">
        <f t="shared" si="2"/>
        <v>5788.633461047255</v>
      </c>
      <c r="E137" s="90">
        <f>(TLAR!$B$21/$AN$96)*(('Drag Polar'!$D$39*0.5*(1.225*0.3345)*Sheet1!$C$5^2)/(TLAR!$B$21*B137)+(TLAR!$B$21*B137)/('Drag Polar'!$D$26*PI()*'Drag Polar'!$D$6*0.5*(1.225*0.3345)*Sheet1!$C$5^2))</f>
        <v>0.39319479730793477</v>
      </c>
      <c r="F137" s="90">
        <f>((TLAR!$B$21/AL137))*(SQRT(($D$47^2*(1.225*0.3345)*SQRT(Sheet1!$C$9))/((TLAR!$B$21*B137*2)))+2*SQRT(Sheet1!$C$10))</f>
        <v>0.29576035699168735</v>
      </c>
      <c r="G137" s="97">
        <f>((TLAR!$B$40)/(TLAR!$B$40-0))*(TLAR!$F$6/AR137)*((TLAR!$F$11*0.01)+2*SQRT(($D$64)/(PI()*'Drag Polar'!$D$6*$D$65)))</f>
        <v>0.18162944011006099</v>
      </c>
      <c r="H137" s="97">
        <f>((TLAR!$B$40)/(TLAR!$B$40-1))*(TLAR!$F$14/AX137)*((TLAR!$F$19*0.01)+2*SQRT(($E$64)/(PI()*'Drag Polar'!$D$6*$E$65)))</f>
        <v>0.25694809631690374</v>
      </c>
      <c r="I137" s="97">
        <f>((TLAR!$B$40)/(TLAR!$B$40-1))*(TLAR!$F$21/BD137)*((TLAR!$F$26*0.01)+2*SQRT(($F$64)/(PI()*'Drag Polar'!$D$6*$F$65)))</f>
        <v>0.27491865221893552</v>
      </c>
      <c r="J137" s="97">
        <f>((TLAR!$B$40)/(TLAR!$B$40-1))*(TLAR!$F$28/BJ137)*((TLAR!$F$33*0.01)+2*SQRT(($G$64)/(PI()*'Drag Polar'!$D$6*$G$65)))</f>
        <v>0.18316190606871643</v>
      </c>
      <c r="K137" s="97">
        <f>((TLAR!$B$40)/(TLAR!$B$40-1))*(TLAR!$F$35/BP137)*((TLAR!$F$40*0.01)+2*SQRT(($H$64)/(PI()*'Drag Polar'!$D$6*$H$65)))</f>
        <v>0.22798894558128618</v>
      </c>
      <c r="L137" s="15">
        <f>1.15*SQRT(((TLAR!$B$40)/(TLAR!$B$40-1))*((B137)/($D$73*0.85*1.225*9.81*PI()*'Drag Polar'!$E$42*'Drag Polar'!$D$6)))+((TLAR!$B$40)/(TLAR!$B$40-1))*((4*11)/($D$73))</f>
        <v>0.15244454019182388</v>
      </c>
      <c r="M137" s="15"/>
      <c r="N137" s="15"/>
      <c r="O137" s="15"/>
      <c r="P137" s="15"/>
      <c r="Q137" s="15"/>
      <c r="R137" s="15"/>
      <c r="S137" s="15"/>
      <c r="T137" s="15"/>
      <c r="U137" s="15"/>
      <c r="V137" s="15"/>
      <c r="W137" s="15"/>
      <c r="X137" s="15"/>
      <c r="Y137" s="15"/>
      <c r="Z137" s="15"/>
      <c r="AA137" s="15"/>
      <c r="AB137" s="15"/>
      <c r="AC137" s="15"/>
      <c r="AD137" s="15"/>
      <c r="AI137" s="95">
        <f t="shared" si="22"/>
        <v>136.57420193940629</v>
      </c>
      <c r="AJ137" s="96">
        <f t="shared" si="3"/>
        <v>0.43971243498117851</v>
      </c>
      <c r="AK137" s="92">
        <f t="shared" si="4"/>
        <v>44881.073678713918</v>
      </c>
      <c r="AL137" s="96">
        <f>((AK137)/(101325))*(1-(0.43+0.014*'Drag Polar'!$D$31)*SQRT(AJ137))</f>
        <v>0.29608261073692754</v>
      </c>
      <c r="AN137" s="92"/>
      <c r="AO137" s="95">
        <f t="shared" si="5"/>
        <v>51.555399170925533</v>
      </c>
      <c r="AP137" s="96">
        <f t="shared" si="6"/>
        <v>0.15150109545091142</v>
      </c>
      <c r="AQ137" s="92">
        <f t="shared" si="7"/>
        <v>102962.33223225881</v>
      </c>
      <c r="AR137" s="96">
        <f>((AQ137)/(101325))*(1-(0.43+0.014*'Drag Polar'!$D$31)*SQRT(AP137))</f>
        <v>0.81839866795996619</v>
      </c>
      <c r="AS137" s="92"/>
      <c r="AT137" s="92"/>
      <c r="AU137" s="95">
        <f t="shared" si="8"/>
        <v>57.640688576662896</v>
      </c>
      <c r="AV137" s="96">
        <f t="shared" si="9"/>
        <v>0.16938337404696105</v>
      </c>
      <c r="AW137" s="92">
        <f t="shared" si="10"/>
        <v>103374.59960720375</v>
      </c>
      <c r="AX137" s="96">
        <f>((AW137)/(101325))*(1-(0.43+0.014*'Drag Polar'!$D$31)*SQRT(AV137))</f>
        <v>0.81028438401231651</v>
      </c>
      <c r="AY137" s="92"/>
      <c r="AZ137" s="92"/>
      <c r="BA137" s="95">
        <f t="shared" si="11"/>
        <v>57.640688576662896</v>
      </c>
      <c r="BB137" s="96">
        <f t="shared" si="12"/>
        <v>0.16938337404696105</v>
      </c>
      <c r="BC137" s="92">
        <f t="shared" si="13"/>
        <v>103374.59960720375</v>
      </c>
      <c r="BD137" s="96">
        <f>((BC137)/(101325))*(1-(0.43+0.014*'Drag Polar'!$D$31)*SQRT(BB137))</f>
        <v>0.81028438401231651</v>
      </c>
      <c r="BE137" s="92"/>
      <c r="BF137" s="92"/>
      <c r="BG137" s="95">
        <f t="shared" si="14"/>
        <v>57.640688576662896</v>
      </c>
      <c r="BH137" s="96">
        <f t="shared" si="15"/>
        <v>0.16938337404696105</v>
      </c>
      <c r="BI137" s="92">
        <f t="shared" si="16"/>
        <v>103374.59960720375</v>
      </c>
      <c r="BJ137" s="96">
        <f>((BI137)/(101325))*(1-(0.43+0.014*'Drag Polar'!$D$31)*SQRT(BH137))</f>
        <v>0.81028438401231651</v>
      </c>
      <c r="BK137" s="92"/>
      <c r="BL137" s="92"/>
      <c r="BM137" s="95">
        <f t="shared" si="17"/>
        <v>51.555399170925533</v>
      </c>
      <c r="BN137" s="96">
        <f t="shared" si="18"/>
        <v>0.15150109545091142</v>
      </c>
      <c r="BO137" s="92">
        <f t="shared" si="19"/>
        <v>102962.33223225881</v>
      </c>
      <c r="BP137" s="96">
        <f>((BO137)/(101325))*(1-(0.43+0.014*'Drag Polar'!$D$31)*SQRT(BN137))</f>
        <v>0.81839866795996619</v>
      </c>
      <c r="BQ137" s="92"/>
      <c r="BR137" s="92"/>
      <c r="BS137" s="95">
        <f t="shared" si="0"/>
        <v>136.57420193940629</v>
      </c>
      <c r="BT137" s="96">
        <f t="shared" si="20"/>
        <v>0.43971243498117851</v>
      </c>
      <c r="BU137" s="92">
        <f t="shared" si="21"/>
        <v>44881.073678713918</v>
      </c>
      <c r="BV137" s="96">
        <f>((BU137)/(101325))*(1-(0.43+0.014*'Drag Polar'!$D$31)*SQRT(BT137))</f>
        <v>0.29608261073692754</v>
      </c>
      <c r="BW137" s="92"/>
      <c r="BX137" s="92"/>
      <c r="BY137" s="92"/>
    </row>
    <row r="138" spans="1:77">
      <c r="A138" s="15"/>
      <c r="B138" s="88">
        <v>3800</v>
      </c>
      <c r="C138" s="89">
        <f t="shared" si="1"/>
        <v>5379.4075927863296</v>
      </c>
      <c r="D138" s="89">
        <f t="shared" si="2"/>
        <v>5788.633461047255</v>
      </c>
      <c r="E138" s="90">
        <f>(TLAR!$B$21/$AN$96)*(('Drag Polar'!$D$39*0.5*(1.225*0.3345)*Sheet1!$C$5^2)/(TLAR!$B$21*B138)+(TLAR!$B$21*B138)/('Drag Polar'!$D$26*PI()*'Drag Polar'!$D$6*0.5*(1.225*0.3345)*Sheet1!$C$5^2))</f>
        <v>0.38584167958697468</v>
      </c>
      <c r="F138" s="90">
        <f>((TLAR!$B$21/AL138))*(SQRT(($D$47^2*(1.225*0.3345)*SQRT(Sheet1!$C$9))/((TLAR!$B$21*B138*2)))+2*SQRT(Sheet1!$C$10))</f>
        <v>0.29442871604891618</v>
      </c>
      <c r="G138" s="97">
        <f>((TLAR!$B$40)/(TLAR!$B$40-0))*(TLAR!$F$6/AR138)*((TLAR!$F$11*0.01)+2*SQRT(($D$64)/(PI()*'Drag Polar'!$D$6*$D$65)))</f>
        <v>0.1818448920262635</v>
      </c>
      <c r="H138" s="97">
        <f>((TLAR!$B$40)/(TLAR!$B$40-1))*(TLAR!$F$14/AX138)*((TLAR!$F$19*0.01)+2*SQRT(($E$64)/(PI()*'Drag Polar'!$D$6*$E$65)))</f>
        <v>0.25725534379655024</v>
      </c>
      <c r="I138" s="97">
        <f>((TLAR!$B$40)/(TLAR!$B$40-1))*(TLAR!$F$21/BD138)*((TLAR!$F$26*0.01)+2*SQRT(($F$64)/(PI()*'Drag Polar'!$D$6*$F$65)))</f>
        <v>0.27524738811623484</v>
      </c>
      <c r="J138" s="97">
        <f>((TLAR!$B$40)/(TLAR!$B$40-1))*(TLAR!$F$28/BJ138)*((TLAR!$F$33*0.01)+2*SQRT(($G$64)/(PI()*'Drag Polar'!$D$6*$G$65)))</f>
        <v>0.18338092319635241</v>
      </c>
      <c r="K138" s="97">
        <f>((TLAR!$B$40)/(TLAR!$B$40-1))*(TLAR!$F$35/BP138)*((TLAR!$F$40*0.01)+2*SQRT(($H$64)/(PI()*'Drag Polar'!$D$6*$H$65)))</f>
        <v>0.22825938992758107</v>
      </c>
      <c r="L138" s="15">
        <f>1.15*SQRT(((TLAR!$B$40)/(TLAR!$B$40-1))*((B138)/($D$73*0.85*1.225*9.81*PI()*'Drag Polar'!$E$42*'Drag Polar'!$D$6)))+((TLAR!$B$40)/(TLAR!$B$40-1))*((4*11)/($D$73))</f>
        <v>0.15405009819711515</v>
      </c>
      <c r="M138" s="15"/>
      <c r="N138" s="15"/>
      <c r="O138" s="15"/>
      <c r="P138" s="15"/>
      <c r="Q138" s="15"/>
      <c r="R138" s="15"/>
      <c r="S138" s="15"/>
      <c r="T138" s="15"/>
      <c r="U138" s="15"/>
      <c r="V138" s="15"/>
      <c r="W138" s="15"/>
      <c r="X138" s="15"/>
      <c r="Y138" s="15"/>
      <c r="Z138" s="15"/>
      <c r="AA138" s="15"/>
      <c r="AB138" s="15"/>
      <c r="AC138" s="15"/>
      <c r="AD138" s="15"/>
      <c r="AI138" s="95">
        <f t="shared" si="22"/>
        <v>138.40749473386282</v>
      </c>
      <c r="AJ138" s="96">
        <f t="shared" si="3"/>
        <v>0.44561487941970856</v>
      </c>
      <c r="AK138" s="92">
        <f t="shared" si="4"/>
        <v>45039.331754146195</v>
      </c>
      <c r="AL138" s="96">
        <f>((AK138)/(101325))*(1-(0.43+0.014*'Drag Polar'!$D$31)*SQRT(AJ138))</f>
        <v>0.29614079263533966</v>
      </c>
      <c r="AN138" s="92"/>
      <c r="AO138" s="95">
        <f t="shared" si="5"/>
        <v>52.247448917314109</v>
      </c>
      <c r="AP138" s="96">
        <f t="shared" si="6"/>
        <v>0.1535347581975966</v>
      </c>
      <c r="AQ138" s="92">
        <f t="shared" si="7"/>
        <v>103006.8449594423</v>
      </c>
      <c r="AR138" s="96">
        <f>((AQ138)/(101325))*(1-(0.43+0.014*'Drag Polar'!$D$31)*SQRT(AP138))</f>
        <v>0.81742901982047333</v>
      </c>
      <c r="AS138" s="92"/>
      <c r="AT138" s="92"/>
      <c r="AU138" s="95">
        <f t="shared" si="8"/>
        <v>58.414423715031063</v>
      </c>
      <c r="AV138" s="96">
        <f t="shared" si="9"/>
        <v>0.1716570781194095</v>
      </c>
      <c r="AW138" s="92">
        <f t="shared" si="10"/>
        <v>103430.40170193184</v>
      </c>
      <c r="AX138" s="96">
        <f>((AW138)/(101325))*(1-(0.43+0.014*'Drag Polar'!$D$31)*SQRT(AV138))</f>
        <v>0.80931663799347542</v>
      </c>
      <c r="AY138" s="92"/>
      <c r="AZ138" s="92"/>
      <c r="BA138" s="95">
        <f t="shared" si="11"/>
        <v>58.414423715031063</v>
      </c>
      <c r="BB138" s="96">
        <f t="shared" si="12"/>
        <v>0.1716570781194095</v>
      </c>
      <c r="BC138" s="92">
        <f t="shared" si="13"/>
        <v>103430.40170193184</v>
      </c>
      <c r="BD138" s="96">
        <f>((BC138)/(101325))*(1-(0.43+0.014*'Drag Polar'!$D$31)*SQRT(BB138))</f>
        <v>0.80931663799347542</v>
      </c>
      <c r="BE138" s="92"/>
      <c r="BF138" s="92"/>
      <c r="BG138" s="95">
        <f t="shared" si="14"/>
        <v>58.414423715031063</v>
      </c>
      <c r="BH138" s="96">
        <f t="shared" si="15"/>
        <v>0.1716570781194095</v>
      </c>
      <c r="BI138" s="92">
        <f t="shared" si="16"/>
        <v>103430.40170193184</v>
      </c>
      <c r="BJ138" s="96">
        <f>((BI138)/(101325))*(1-(0.43+0.014*'Drag Polar'!$D$31)*SQRT(BH138))</f>
        <v>0.80931663799347542</v>
      </c>
      <c r="BK138" s="92"/>
      <c r="BL138" s="92"/>
      <c r="BM138" s="95">
        <f t="shared" si="17"/>
        <v>52.247448917314109</v>
      </c>
      <c r="BN138" s="96">
        <f t="shared" si="18"/>
        <v>0.1535347581975966</v>
      </c>
      <c r="BO138" s="92">
        <f t="shared" si="19"/>
        <v>103006.8449594423</v>
      </c>
      <c r="BP138" s="96">
        <f>((BO138)/(101325))*(1-(0.43+0.014*'Drag Polar'!$D$31)*SQRT(BN138))</f>
        <v>0.81742901982047333</v>
      </c>
      <c r="BQ138" s="92"/>
      <c r="BR138" s="92"/>
      <c r="BS138" s="95">
        <f t="shared" si="0"/>
        <v>138.40749473386282</v>
      </c>
      <c r="BT138" s="96">
        <f t="shared" si="20"/>
        <v>0.44561487941970856</v>
      </c>
      <c r="BU138" s="92">
        <f t="shared" si="21"/>
        <v>45039.331754146195</v>
      </c>
      <c r="BV138" s="96">
        <f>((BU138)/(101325))*(1-(0.43+0.014*'Drag Polar'!$D$31)*SQRT(BT138))</f>
        <v>0.29614079263533966</v>
      </c>
      <c r="BW138" s="92"/>
      <c r="BX138" s="92"/>
      <c r="BY138" s="92"/>
    </row>
    <row r="139" spans="1:77">
      <c r="A139" s="15"/>
      <c r="B139" s="88">
        <v>3900</v>
      </c>
      <c r="C139" s="89">
        <f t="shared" si="1"/>
        <v>5379.4075927863296</v>
      </c>
      <c r="D139" s="89">
        <f t="shared" si="2"/>
        <v>5788.633461047255</v>
      </c>
      <c r="E139" s="90">
        <f>(TLAR!$B$21/$AN$96)*(('Drag Polar'!$D$39*0.5*(1.225*0.3345)*Sheet1!$C$5^2)/(TLAR!$B$21*B139)+(TLAR!$B$21*B139)/('Drag Polar'!$D$26*PI()*'Drag Polar'!$D$6*0.5*(1.225*0.3345)*Sheet1!$C$5^2))</f>
        <v>0.37894344060309726</v>
      </c>
      <c r="F139" s="90">
        <f>((TLAR!$B$21/AL139))*(SQRT(($D$47^2*(1.225*0.3345)*SQRT(Sheet1!$C$9))/((TLAR!$B$21*B139*2)))+2*SQRT(Sheet1!$C$10))</f>
        <v>0.29313202646574787</v>
      </c>
      <c r="G139" s="97">
        <f>((TLAR!$B$40)/(TLAR!$B$40-0))*(TLAR!$F$6/AR139)*((TLAR!$F$11*0.01)+2*SQRT(($D$64)/(PI()*'Drag Polar'!$D$6*$D$65)))</f>
        <v>0.18205531569199548</v>
      </c>
      <c r="H139" s="97">
        <f>((TLAR!$B$40)/(TLAR!$B$40-1))*(TLAR!$F$14/AX139)*((TLAR!$F$19*0.01)+2*SQRT(($E$64)/(PI()*'Drag Polar'!$D$6*$E$65)))</f>
        <v>0.25755500075121601</v>
      </c>
      <c r="I139" s="97">
        <f>((TLAR!$B$40)/(TLAR!$B$40-1))*(TLAR!$F$21/BD139)*((TLAR!$F$26*0.01)+2*SQRT(($F$64)/(PI()*'Drag Polar'!$D$6*$F$65)))</f>
        <v>0.27556800261887404</v>
      </c>
      <c r="J139" s="97">
        <f>((TLAR!$B$40)/(TLAR!$B$40-1))*(TLAR!$F$28/BJ139)*((TLAR!$F$33*0.01)+2*SQRT(($G$64)/(PI()*'Drag Polar'!$D$6*$G$65)))</f>
        <v>0.18359452952296101</v>
      </c>
      <c r="K139" s="97">
        <f>((TLAR!$B$40)/(TLAR!$B$40-1))*(TLAR!$F$35/BP139)*((TLAR!$F$40*0.01)+2*SQRT(($H$64)/(PI()*'Drag Polar'!$D$6*$H$65)))</f>
        <v>0.22852352260148306</v>
      </c>
      <c r="L139" s="15">
        <f>1.15*SQRT(((TLAR!$B$40)/(TLAR!$B$40-1))*((B139)/($D$73*0.85*1.225*9.81*PI()*'Drag Polar'!$E$42*'Drag Polar'!$D$6)))+((TLAR!$B$40)/(TLAR!$B$40-1))*((4*11)/($D$73))</f>
        <v>0.15563466580781549</v>
      </c>
      <c r="M139" s="15"/>
      <c r="N139" s="15"/>
      <c r="O139" s="15"/>
      <c r="P139" s="15"/>
      <c r="Q139" s="15"/>
      <c r="R139" s="15"/>
      <c r="S139" s="15"/>
      <c r="T139" s="15"/>
      <c r="U139" s="15"/>
      <c r="V139" s="15"/>
      <c r="W139" s="15"/>
      <c r="X139" s="15"/>
      <c r="Y139" s="15"/>
      <c r="Z139" s="15"/>
      <c r="AA139" s="15"/>
      <c r="AB139" s="15"/>
      <c r="AC139" s="15"/>
      <c r="AD139" s="15"/>
      <c r="AI139" s="95">
        <f t="shared" si="22"/>
        <v>140.21681982423789</v>
      </c>
      <c r="AJ139" s="96">
        <f t="shared" si="3"/>
        <v>0.45144015776557317</v>
      </c>
      <c r="AK139" s="92">
        <f t="shared" si="4"/>
        <v>45197.988031480876</v>
      </c>
      <c r="AL139" s="96">
        <f>((AK139)/(101325))*(1-(0.43+0.014*'Drag Polar'!$D$31)*SQRT(AJ139))</f>
        <v>0.29621399371862545</v>
      </c>
      <c r="AN139" s="92"/>
      <c r="AO139" s="95">
        <f t="shared" si="5"/>
        <v>52.930451094443022</v>
      </c>
      <c r="AP139" s="96">
        <f t="shared" si="6"/>
        <v>0.15554183368715543</v>
      </c>
      <c r="AQ139" s="92">
        <f t="shared" si="7"/>
        <v>103051.37143047428</v>
      </c>
      <c r="AR139" s="96">
        <f>((AQ139)/(101325))*(1-(0.43+0.014*'Drag Polar'!$D$31)*SQRT(AP139))</f>
        <v>0.8164842168073202</v>
      </c>
      <c r="AS139" s="92"/>
      <c r="AT139" s="92"/>
      <c r="AU139" s="95">
        <f t="shared" si="8"/>
        <v>59.178043363451366</v>
      </c>
      <c r="AV139" s="96">
        <f t="shared" si="9"/>
        <v>0.17390105673472314</v>
      </c>
      <c r="AW139" s="92">
        <f t="shared" si="10"/>
        <v>103486.22530922286</v>
      </c>
      <c r="AX139" s="96">
        <f>((AW139)/(101325))*(1-(0.43+0.014*'Drag Polar'!$D$31)*SQRT(AV139))</f>
        <v>0.80837502413082829</v>
      </c>
      <c r="AY139" s="92"/>
      <c r="AZ139" s="92"/>
      <c r="BA139" s="95">
        <f t="shared" si="11"/>
        <v>59.178043363451366</v>
      </c>
      <c r="BB139" s="96">
        <f t="shared" si="12"/>
        <v>0.17390105673472314</v>
      </c>
      <c r="BC139" s="92">
        <f t="shared" si="13"/>
        <v>103486.22530922286</v>
      </c>
      <c r="BD139" s="96">
        <f>((BC139)/(101325))*(1-(0.43+0.014*'Drag Polar'!$D$31)*SQRT(BB139))</f>
        <v>0.80837502413082829</v>
      </c>
      <c r="BE139" s="92"/>
      <c r="BF139" s="92"/>
      <c r="BG139" s="95">
        <f t="shared" si="14"/>
        <v>59.178043363451366</v>
      </c>
      <c r="BH139" s="96">
        <f t="shared" si="15"/>
        <v>0.17390105673472314</v>
      </c>
      <c r="BI139" s="92">
        <f t="shared" si="16"/>
        <v>103486.22530922286</v>
      </c>
      <c r="BJ139" s="96">
        <f>((BI139)/(101325))*(1-(0.43+0.014*'Drag Polar'!$D$31)*SQRT(BH139))</f>
        <v>0.80837502413082829</v>
      </c>
      <c r="BK139" s="92"/>
      <c r="BL139" s="92"/>
      <c r="BM139" s="95">
        <f t="shared" si="17"/>
        <v>52.930451094443022</v>
      </c>
      <c r="BN139" s="96">
        <f t="shared" si="18"/>
        <v>0.15554183368715543</v>
      </c>
      <c r="BO139" s="92">
        <f t="shared" si="19"/>
        <v>103051.37143047428</v>
      </c>
      <c r="BP139" s="96">
        <f>((BO139)/(101325))*(1-(0.43+0.014*'Drag Polar'!$D$31)*SQRT(BN139))</f>
        <v>0.8164842168073202</v>
      </c>
      <c r="BQ139" s="92"/>
      <c r="BR139" s="92"/>
      <c r="BS139" s="95">
        <f t="shared" si="0"/>
        <v>140.21681982423789</v>
      </c>
      <c r="BT139" s="96">
        <f t="shared" si="20"/>
        <v>0.45144015776557317</v>
      </c>
      <c r="BU139" s="92">
        <f t="shared" si="21"/>
        <v>45197.988031480876</v>
      </c>
      <c r="BV139" s="96">
        <f>((BU139)/(101325))*(1-(0.43+0.014*'Drag Polar'!$D$31)*SQRT(BT139))</f>
        <v>0.29621399371862545</v>
      </c>
      <c r="BW139" s="92"/>
      <c r="BX139" s="92"/>
      <c r="BY139" s="92"/>
    </row>
    <row r="140" spans="1:77">
      <c r="A140" s="15"/>
      <c r="B140" s="88">
        <v>4000</v>
      </c>
      <c r="C140" s="89">
        <f t="shared" si="1"/>
        <v>5379.4075927863296</v>
      </c>
      <c r="D140" s="89">
        <f t="shared" si="2"/>
        <v>5788.633461047255</v>
      </c>
      <c r="E140" s="90">
        <f>(TLAR!$B$21/$AN$96)*(('Drag Polar'!$D$39*0.5*(1.225*0.3345)*Sheet1!$C$5^2)/(TLAR!$B$21*B140)+(TLAR!$B$21*B140)/('Drag Polar'!$D$26*PI()*'Drag Polar'!$D$6*0.5*(1.225*0.3345)*Sheet1!$C$5^2))</f>
        <v>0.37246596445102137</v>
      </c>
      <c r="F140" s="90">
        <f>((TLAR!$B$21/AL140))*(SQRT(($D$47^2*(1.225*0.3345)*SQRT(Sheet1!$C$9))/((TLAR!$B$21*B140*2)))+2*SQRT(Sheet1!$C$10))</f>
        <v>0.29186803071766448</v>
      </c>
      <c r="G140" s="97">
        <f>((TLAR!$B$40)/(TLAR!$B$40-0))*(TLAR!$F$6/AR140)*((TLAR!$F$11*0.01)+2*SQRT(($D$64)/(PI()*'Drag Polar'!$D$6*$D$65)))</f>
        <v>0.18226092422584514</v>
      </c>
      <c r="H140" s="97">
        <f>((TLAR!$B$40)/(TLAR!$B$40-1))*(TLAR!$F$14/AX140)*((TLAR!$F$19*0.01)+2*SQRT(($E$64)/(PI()*'Drag Polar'!$D$6*$E$65)))</f>
        <v>0.257847387892222</v>
      </c>
      <c r="I140" s="97">
        <f>((TLAR!$B$40)/(TLAR!$B$40-1))*(TLAR!$F$21/BD140)*((TLAR!$F$26*0.01)+2*SQRT(($F$64)/(PI()*'Drag Polar'!$D$6*$F$65)))</f>
        <v>0.27588083886823228</v>
      </c>
      <c r="J140" s="97">
        <f>((TLAR!$B$40)/(TLAR!$B$40-1))*(TLAR!$F$28/BJ140)*((TLAR!$F$33*0.01)+2*SQRT(($G$64)/(PI()*'Drag Polar'!$D$6*$G$65)))</f>
        <v>0.18380295366318344</v>
      </c>
      <c r="K140" s="97">
        <f>((TLAR!$B$40)/(TLAR!$B$40-1))*(TLAR!$F$35/BP140)*((TLAR!$F$40*0.01)+2*SQRT(($H$64)/(PI()*'Drag Polar'!$D$6*$H$65)))</f>
        <v>0.22878161111844639</v>
      </c>
      <c r="L140" s="15">
        <f>1.15*SQRT(((TLAR!$B$40)/(TLAR!$B$40-1))*((B140)/($D$73*0.85*1.225*9.81*PI()*'Drag Polar'!$E$42*'Drag Polar'!$D$6)))+((TLAR!$B$40)/(TLAR!$B$40-1))*((4*11)/($D$73))</f>
        <v>0.15719904537060342</v>
      </c>
      <c r="M140" s="15"/>
      <c r="N140" s="15"/>
      <c r="O140" s="15"/>
      <c r="P140" s="15"/>
      <c r="Q140" s="15"/>
      <c r="R140" s="15"/>
      <c r="S140" s="15"/>
      <c r="T140" s="15"/>
      <c r="U140" s="15"/>
      <c r="V140" s="15"/>
      <c r="W140" s="15"/>
      <c r="X140" s="15"/>
      <c r="Y140" s="15"/>
      <c r="Z140" s="15"/>
      <c r="AA140" s="15"/>
      <c r="AB140" s="15"/>
      <c r="AC140" s="15"/>
      <c r="AD140" s="15"/>
      <c r="AI140" s="95">
        <f t="shared" si="22"/>
        <v>142.0030933632832</v>
      </c>
      <c r="AJ140" s="96">
        <f t="shared" si="3"/>
        <v>0.45719121965165721</v>
      </c>
      <c r="AK140" s="92">
        <f t="shared" si="4"/>
        <v>45357.043111276384</v>
      </c>
      <c r="AL140" s="96">
        <f>((AK140)/(101325))*(1-(0.43+0.014*'Drag Polar'!$D$31)*SQRT(AJ140))</f>
        <v>0.29630153326895903</v>
      </c>
      <c r="AN140" s="92"/>
      <c r="AO140" s="95">
        <f t="shared" si="5"/>
        <v>53.604751540839196</v>
      </c>
      <c r="AP140" s="96">
        <f t="shared" si="6"/>
        <v>0.15752333820336273</v>
      </c>
      <c r="AQ140" s="92">
        <f t="shared" si="7"/>
        <v>103095.91164790072</v>
      </c>
      <c r="AR140" s="96">
        <f>((AQ140)/(101325))*(1-(0.43+0.014*'Drag Polar'!$D$31)*SQRT(AP140))</f>
        <v>0.8155631410285038</v>
      </c>
      <c r="AS140" s="92"/>
      <c r="AT140" s="92"/>
      <c r="AU140" s="95">
        <f t="shared" si="8"/>
        <v>59.931934181151512</v>
      </c>
      <c r="AV140" s="96">
        <f t="shared" si="9"/>
        <v>0.17611644613270433</v>
      </c>
      <c r="AW140" s="92">
        <f t="shared" si="10"/>
        <v>103542.07043405228</v>
      </c>
      <c r="AX140" s="96">
        <f>((AW140)/(101325))*(1-(0.43+0.014*'Drag Polar'!$D$31)*SQRT(AV140))</f>
        <v>0.80745836383770531</v>
      </c>
      <c r="AY140" s="92"/>
      <c r="AZ140" s="92"/>
      <c r="BA140" s="95">
        <f t="shared" si="11"/>
        <v>59.931934181151512</v>
      </c>
      <c r="BB140" s="96">
        <f t="shared" si="12"/>
        <v>0.17611644613270433</v>
      </c>
      <c r="BC140" s="92">
        <f t="shared" si="13"/>
        <v>103542.07043405228</v>
      </c>
      <c r="BD140" s="96">
        <f>((BC140)/(101325))*(1-(0.43+0.014*'Drag Polar'!$D$31)*SQRT(BB140))</f>
        <v>0.80745836383770531</v>
      </c>
      <c r="BE140" s="92"/>
      <c r="BF140" s="92"/>
      <c r="BG140" s="95">
        <f t="shared" si="14"/>
        <v>59.931934181151512</v>
      </c>
      <c r="BH140" s="96">
        <f t="shared" si="15"/>
        <v>0.17611644613270433</v>
      </c>
      <c r="BI140" s="92">
        <f t="shared" si="16"/>
        <v>103542.07043405228</v>
      </c>
      <c r="BJ140" s="96">
        <f>((BI140)/(101325))*(1-(0.43+0.014*'Drag Polar'!$D$31)*SQRT(BH140))</f>
        <v>0.80745836383770531</v>
      </c>
      <c r="BK140" s="92"/>
      <c r="BL140" s="92"/>
      <c r="BM140" s="95">
        <f t="shared" si="17"/>
        <v>53.604751540839196</v>
      </c>
      <c r="BN140" s="96">
        <f t="shared" si="18"/>
        <v>0.15752333820336273</v>
      </c>
      <c r="BO140" s="92">
        <f t="shared" si="19"/>
        <v>103095.91164790072</v>
      </c>
      <c r="BP140" s="96">
        <f>((BO140)/(101325))*(1-(0.43+0.014*'Drag Polar'!$D$31)*SQRT(BN140))</f>
        <v>0.8155631410285038</v>
      </c>
      <c r="BQ140" s="92"/>
      <c r="BR140" s="92"/>
      <c r="BS140" s="95">
        <f t="shared" si="0"/>
        <v>142.0030933632832</v>
      </c>
      <c r="BT140" s="96">
        <f t="shared" si="20"/>
        <v>0.45719121965165721</v>
      </c>
      <c r="BU140" s="92">
        <f t="shared" si="21"/>
        <v>45357.043111276384</v>
      </c>
      <c r="BV140" s="96">
        <f>((BU140)/(101325))*(1-(0.43+0.014*'Drag Polar'!$D$31)*SQRT(BT140))</f>
        <v>0.29630153326895903</v>
      </c>
      <c r="BW140" s="92"/>
      <c r="BX140" s="92"/>
      <c r="BY140" s="92"/>
    </row>
    <row r="141" spans="1:77">
      <c r="A141" s="15"/>
      <c r="B141" s="88">
        <v>4100</v>
      </c>
      <c r="C141" s="89">
        <f t="shared" si="1"/>
        <v>5379.4075927863296</v>
      </c>
      <c r="D141" s="89">
        <f t="shared" si="2"/>
        <v>5788.633461047255</v>
      </c>
      <c r="E141" s="90">
        <f>(TLAR!$B$21/$AN$96)*(('Drag Polar'!$D$39*0.5*(1.225*0.3345)*Sheet1!$C$5^2)/(TLAR!$B$21*B141)+(TLAR!$B$21*B141)/('Drag Polar'!$D$26*PI()*'Drag Polar'!$D$6*0.5*(1.225*0.3345)*Sheet1!$C$5^2))</f>
        <v>0.36637846360646875</v>
      </c>
      <c r="F141" s="90">
        <f>((TLAR!$B$21/AL141))*(SQRT(($D$47^2*(1.225*0.3345)*SQRT(Sheet1!$C$9))/((TLAR!$B$21*B141*2)))+2*SQRT(Sheet1!$C$10))</f>
        <v>0.29063467171817475</v>
      </c>
      <c r="G141" s="97">
        <f>((TLAR!$B$40)/(TLAR!$B$40-0))*(TLAR!$F$6/AR141)*((TLAR!$F$11*0.01)+2*SQRT(($D$64)/(PI()*'Drag Polar'!$D$6*$D$65)))</f>
        <v>0.18246191657785144</v>
      </c>
      <c r="H141" s="97">
        <f>((TLAR!$B$40)/(TLAR!$B$40-1))*(TLAR!$F$14/AX141)*((TLAR!$F$19*0.01)+2*SQRT(($E$64)/(PI()*'Drag Polar'!$D$6*$E$65)))</f>
        <v>0.25813280465892369</v>
      </c>
      <c r="I141" s="97">
        <f>((TLAR!$B$40)/(TLAR!$B$40-1))*(TLAR!$F$21/BD141)*((TLAR!$F$26*0.01)+2*SQRT(($F$64)/(PI()*'Drag Polar'!$D$6*$F$65)))</f>
        <v>0.27618621724599435</v>
      </c>
      <c r="J141" s="97">
        <f>((TLAR!$B$40)/(TLAR!$B$40-1))*(TLAR!$F$28/BJ141)*((TLAR!$F$33*0.01)+2*SQRT(($G$64)/(PI()*'Drag Polar'!$D$6*$G$65)))</f>
        <v>0.18400640906823371</v>
      </c>
      <c r="K141" s="97">
        <f>((TLAR!$B$40)/(TLAR!$B$40-1))*(TLAR!$F$35/BP141)*((TLAR!$F$40*0.01)+2*SQRT(($H$64)/(PI()*'Drag Polar'!$D$6*$H$65)))</f>
        <v>0.22903390520896416</v>
      </c>
      <c r="L141" s="15">
        <f>1.15*SQRT(((TLAR!$B$40)/(TLAR!$B$40-1))*((B141)/($D$73*0.85*1.225*9.81*PI()*'Drag Polar'!$E$42*'Drag Polar'!$D$6)))+((TLAR!$B$40)/(TLAR!$B$40-1))*((4*11)/($D$73))</f>
        <v>0.15874398938305692</v>
      </c>
      <c r="M141" s="15"/>
      <c r="N141" s="15"/>
      <c r="O141" s="15"/>
      <c r="P141" s="15"/>
      <c r="Q141" s="15"/>
      <c r="R141" s="15"/>
      <c r="S141" s="15"/>
      <c r="T141" s="15"/>
      <c r="U141" s="15"/>
      <c r="V141" s="15"/>
      <c r="W141" s="15"/>
      <c r="X141" s="15"/>
      <c r="Y141" s="15"/>
      <c r="Z141" s="15"/>
      <c r="AA141" s="15"/>
      <c r="AB141" s="15"/>
      <c r="AC141" s="15"/>
      <c r="AD141" s="15"/>
      <c r="AI141" s="95">
        <f t="shared" si="22"/>
        <v>143.76717458397746</v>
      </c>
      <c r="AJ141" s="96">
        <f t="shared" si="3"/>
        <v>0.4628708314527219</v>
      </c>
      <c r="AK141" s="92">
        <f t="shared" si="4"/>
        <v>45516.497594392895</v>
      </c>
      <c r="AL141" s="96">
        <f>((AK141)/(101325))*(1-(0.43+0.014*'Drag Polar'!$D$31)*SQRT(AJ141))</f>
        <v>0.2964027783897728</v>
      </c>
      <c r="AN141" s="92"/>
      <c r="AO141" s="95">
        <f t="shared" si="5"/>
        <v>54.270674608382926</v>
      </c>
      <c r="AP141" s="96">
        <f t="shared" si="6"/>
        <v>0.15948022488916697</v>
      </c>
      <c r="AQ141" s="92">
        <f t="shared" si="7"/>
        <v>103140.46561426746</v>
      </c>
      <c r="AR141" s="96">
        <f>((AQ141)/(101325))*(1-(0.43+0.014*'Drag Polar'!$D$31)*SQRT(AP141))</f>
        <v>0.81466475106856373</v>
      </c>
      <c r="AS141" s="92"/>
      <c r="AT141" s="92"/>
      <c r="AU141" s="95">
        <f t="shared" si="8"/>
        <v>60.676458804558003</v>
      </c>
      <c r="AV141" s="96">
        <f t="shared" si="9"/>
        <v>0.17830431195956561</v>
      </c>
      <c r="AW141" s="92">
        <f t="shared" si="10"/>
        <v>103597.93708139568</v>
      </c>
      <c r="AX141" s="96">
        <f>((AW141)/(101325))*(1-(0.43+0.014*'Drag Polar'!$D$31)*SQRT(AV141))</f>
        <v>0.80656555923754103</v>
      </c>
      <c r="AY141" s="92"/>
      <c r="AZ141" s="92"/>
      <c r="BA141" s="95">
        <f t="shared" si="11"/>
        <v>60.676458804558003</v>
      </c>
      <c r="BB141" s="96">
        <f t="shared" si="12"/>
        <v>0.17830431195956561</v>
      </c>
      <c r="BC141" s="92">
        <f t="shared" si="13"/>
        <v>103597.93708139568</v>
      </c>
      <c r="BD141" s="96">
        <f>((BC141)/(101325))*(1-(0.43+0.014*'Drag Polar'!$D$31)*SQRT(BB141))</f>
        <v>0.80656555923754103</v>
      </c>
      <c r="BE141" s="92"/>
      <c r="BF141" s="92"/>
      <c r="BG141" s="95">
        <f t="shared" si="14"/>
        <v>60.676458804558003</v>
      </c>
      <c r="BH141" s="96">
        <f t="shared" si="15"/>
        <v>0.17830431195956561</v>
      </c>
      <c r="BI141" s="92">
        <f t="shared" si="16"/>
        <v>103597.93708139568</v>
      </c>
      <c r="BJ141" s="96">
        <f>((BI141)/(101325))*(1-(0.43+0.014*'Drag Polar'!$D$31)*SQRT(BH141))</f>
        <v>0.80656555923754103</v>
      </c>
      <c r="BK141" s="92"/>
      <c r="BL141" s="92"/>
      <c r="BM141" s="95">
        <f t="shared" si="17"/>
        <v>54.270674608382926</v>
      </c>
      <c r="BN141" s="96">
        <f t="shared" si="18"/>
        <v>0.15948022488916697</v>
      </c>
      <c r="BO141" s="92">
        <f t="shared" si="19"/>
        <v>103140.46561426746</v>
      </c>
      <c r="BP141" s="96">
        <f>((BO141)/(101325))*(1-(0.43+0.014*'Drag Polar'!$D$31)*SQRT(BN141))</f>
        <v>0.81466475106856373</v>
      </c>
      <c r="BQ141" s="92"/>
      <c r="BR141" s="92"/>
      <c r="BS141" s="95">
        <f t="shared" si="0"/>
        <v>143.76717458397746</v>
      </c>
      <c r="BT141" s="96">
        <f t="shared" si="20"/>
        <v>0.4628708314527219</v>
      </c>
      <c r="BU141" s="92">
        <f t="shared" si="21"/>
        <v>45516.497594392895</v>
      </c>
      <c r="BV141" s="96">
        <f>((BU141)/(101325))*(1-(0.43+0.014*'Drag Polar'!$D$31)*SQRT(BT141))</f>
        <v>0.2964027783897728</v>
      </c>
      <c r="BW141" s="92"/>
      <c r="BX141" s="92"/>
      <c r="BY141" s="92"/>
    </row>
    <row r="142" spans="1:77">
      <c r="A142" s="15"/>
      <c r="B142" s="88">
        <v>4200</v>
      </c>
      <c r="C142" s="89">
        <f t="shared" si="1"/>
        <v>5379.4075927863296</v>
      </c>
      <c r="D142" s="89">
        <f t="shared" si="2"/>
        <v>5788.633461047255</v>
      </c>
      <c r="E142" s="90">
        <f>(TLAR!$B$21/$AN$96)*(('Drag Polar'!$D$39*0.5*(1.225*0.3345)*Sheet1!$C$5^2)/(TLAR!$B$21*B142)+(TLAR!$B$21*B142)/('Drag Polar'!$D$26*PI()*'Drag Polar'!$D$6*0.5*(1.225*0.3345)*Sheet1!$C$5^2))</f>
        <v>0.36065308269033075</v>
      </c>
      <c r="F142" s="90">
        <f>((TLAR!$B$21/AL142))*(SQRT(($D$47^2*(1.225*0.3345)*SQRT(Sheet1!$C$9))/((TLAR!$B$21*B142*2)))+2*SQRT(Sheet1!$C$10))</f>
        <v>0.28943007081422523</v>
      </c>
      <c r="G142" s="97">
        <f>((TLAR!$B$40)/(TLAR!$B$40-0))*(TLAR!$F$6/AR142)*((TLAR!$F$11*0.01)+2*SQRT(($D$64)/(PI()*'Drag Polar'!$D$6*$D$65)))</f>
        <v>0.18265847879476185</v>
      </c>
      <c r="H142" s="97">
        <f>((TLAR!$B$40)/(TLAR!$B$40-1))*(TLAR!$F$14/AX142)*((TLAR!$F$19*0.01)+2*SQRT(($E$64)/(PI()*'Drag Polar'!$D$6*$E$65)))</f>
        <v>0.25841153111588655</v>
      </c>
      <c r="I142" s="97">
        <f>((TLAR!$B$40)/(TLAR!$B$40-1))*(TLAR!$F$21/BD142)*((TLAR!$F$26*0.01)+2*SQRT(($F$64)/(PI()*'Drag Polar'!$D$6*$F$65)))</f>
        <v>0.27648443740401213</v>
      </c>
      <c r="J142" s="97">
        <f>((TLAR!$B$40)/(TLAR!$B$40-1))*(TLAR!$F$28/BJ142)*((TLAR!$F$33*0.01)+2*SQRT(($G$64)/(PI()*'Drag Polar'!$D$6*$G$65)))</f>
        <v>0.18420509537827404</v>
      </c>
      <c r="K142" s="97">
        <f>((TLAR!$B$40)/(TLAR!$B$40-1))*(TLAR!$F$35/BP142)*((TLAR!$F$40*0.01)+2*SQRT(($H$64)/(PI()*'Drag Polar'!$D$6*$H$65)))</f>
        <v>0.22928063840677268</v>
      </c>
      <c r="L142" s="15">
        <f>1.15*SQRT(((TLAR!$B$40)/(TLAR!$B$40-1))*((B142)/($D$73*0.85*1.225*9.81*PI()*'Drag Polar'!$E$42*'Drag Polar'!$D$6)))+((TLAR!$B$40)/(TLAR!$B$40-1))*((4*11)/($D$73))</f>
        <v>0.1602702047247361</v>
      </c>
      <c r="M142" s="15"/>
      <c r="N142" s="15"/>
      <c r="O142" s="15"/>
      <c r="P142" s="15"/>
      <c r="Q142" s="15"/>
      <c r="R142" s="15"/>
      <c r="S142" s="15"/>
      <c r="T142" s="15"/>
      <c r="U142" s="15"/>
      <c r="V142" s="15"/>
      <c r="W142" s="15"/>
      <c r="X142" s="15"/>
      <c r="Y142" s="15"/>
      <c r="Z142" s="15"/>
      <c r="AA142" s="15"/>
      <c r="AB142" s="15"/>
      <c r="AC142" s="15"/>
      <c r="AD142" s="15"/>
      <c r="AI142" s="95">
        <f t="shared" si="22"/>
        <v>145.50987063075272</v>
      </c>
      <c r="AJ142" s="96">
        <f t="shared" si="3"/>
        <v>0.46848159183995514</v>
      </c>
      <c r="AK142" s="92">
        <f t="shared" si="4"/>
        <v>45676.352081991914</v>
      </c>
      <c r="AL142" s="96">
        <f>((AK142)/(101325))*(1-(0.43+0.014*'Drag Polar'!$D$31)*SQRT(AJ142))</f>
        <v>0.29651713960209175</v>
      </c>
      <c r="AN142" s="92"/>
      <c r="AO142" s="95">
        <f t="shared" si="5"/>
        <v>54.928524986047613</v>
      </c>
      <c r="AP142" s="96">
        <f t="shared" si="6"/>
        <v>0.16141338910594605</v>
      </c>
      <c r="AQ142" s="92">
        <f t="shared" si="7"/>
        <v>103185.03333212074</v>
      </c>
      <c r="AR142" s="96">
        <f>((AQ142)/(101325))*(1-(0.43+0.014*'Drag Polar'!$D$31)*SQRT(AP142))</f>
        <v>0.8137880750414479</v>
      </c>
      <c r="AS142" s="92"/>
      <c r="AT142" s="92"/>
      <c r="AU142" s="95">
        <f t="shared" si="8"/>
        <v>61.411957886299078</v>
      </c>
      <c r="AV142" s="96">
        <f t="shared" si="9"/>
        <v>0.18046565525975972</v>
      </c>
      <c r="AW142" s="92">
        <f t="shared" si="10"/>
        <v>103653.82525622912</v>
      </c>
      <c r="AX142" s="96">
        <f>((AW142)/(101325))*(1-(0.43+0.014*'Drag Polar'!$D$31)*SQRT(AV142))</f>
        <v>0.80569558582860001</v>
      </c>
      <c r="AY142" s="92"/>
      <c r="AZ142" s="92"/>
      <c r="BA142" s="95">
        <f t="shared" si="11"/>
        <v>61.411957886299078</v>
      </c>
      <c r="BB142" s="96">
        <f t="shared" si="12"/>
        <v>0.18046565525975972</v>
      </c>
      <c r="BC142" s="92">
        <f t="shared" si="13"/>
        <v>103653.82525622912</v>
      </c>
      <c r="BD142" s="96">
        <f>((BC142)/(101325))*(1-(0.43+0.014*'Drag Polar'!$D$31)*SQRT(BB142))</f>
        <v>0.80569558582860001</v>
      </c>
      <c r="BE142" s="92"/>
      <c r="BF142" s="92"/>
      <c r="BG142" s="95">
        <f t="shared" si="14"/>
        <v>61.411957886299078</v>
      </c>
      <c r="BH142" s="96">
        <f t="shared" si="15"/>
        <v>0.18046565525975972</v>
      </c>
      <c r="BI142" s="92">
        <f t="shared" si="16"/>
        <v>103653.82525622912</v>
      </c>
      <c r="BJ142" s="96">
        <f>((BI142)/(101325))*(1-(0.43+0.014*'Drag Polar'!$D$31)*SQRT(BH142))</f>
        <v>0.80569558582860001</v>
      </c>
      <c r="BK142" s="92"/>
      <c r="BL142" s="92"/>
      <c r="BM142" s="95">
        <f t="shared" si="17"/>
        <v>54.928524986047613</v>
      </c>
      <c r="BN142" s="96">
        <f t="shared" si="18"/>
        <v>0.16141338910594605</v>
      </c>
      <c r="BO142" s="92">
        <f t="shared" si="19"/>
        <v>103185.03333212074</v>
      </c>
      <c r="BP142" s="96">
        <f>((BO142)/(101325))*(1-(0.43+0.014*'Drag Polar'!$D$31)*SQRT(BN142))</f>
        <v>0.8137880750414479</v>
      </c>
      <c r="BQ142" s="92"/>
      <c r="BR142" s="92"/>
      <c r="BS142" s="95">
        <f t="shared" si="0"/>
        <v>145.50987063075272</v>
      </c>
      <c r="BT142" s="96">
        <f t="shared" si="20"/>
        <v>0.46848159183995514</v>
      </c>
      <c r="BU142" s="92">
        <f t="shared" si="21"/>
        <v>45676.352081991914</v>
      </c>
      <c r="BV142" s="96">
        <f>((BU142)/(101325))*(1-(0.43+0.014*'Drag Polar'!$D$31)*SQRT(BT142))</f>
        <v>0.29651713960209175</v>
      </c>
      <c r="BW142" s="92"/>
      <c r="BX142" s="92"/>
      <c r="BY142" s="92"/>
    </row>
    <row r="143" spans="1:77">
      <c r="A143" s="15"/>
      <c r="B143" s="88">
        <v>4300</v>
      </c>
      <c r="C143" s="89">
        <f t="shared" si="1"/>
        <v>5379.4075927863296</v>
      </c>
      <c r="D143" s="89">
        <f t="shared" si="2"/>
        <v>5788.633461047255</v>
      </c>
      <c r="E143" s="90">
        <f>(TLAR!$B$21/$AN$96)*(('Drag Polar'!$D$39*0.5*(1.225*0.3345)*Sheet1!$C$5^2)/(TLAR!$B$21*B143)+(TLAR!$B$21*B143)/('Drag Polar'!$D$26*PI()*'Drag Polar'!$D$6*0.5*(1.225*0.3345)*Sheet1!$C$5^2))</f>
        <v>0.35526455752155506</v>
      </c>
      <c r="F143" s="90">
        <f>((TLAR!$B$21/AL143))*(SQRT(($D$47^2*(1.225*0.3345)*SQRT(Sheet1!$C$9))/((TLAR!$B$21*B143*2)))+2*SQRT(Sheet1!$C$10))</f>
        <v>0.28825250864377944</v>
      </c>
      <c r="G143" s="97">
        <f>((TLAR!$B$40)/(TLAR!$B$40-0))*(TLAR!$F$6/AR143)*((TLAR!$F$11*0.01)+2*SQRT(($D$64)/(PI()*'Drag Polar'!$D$6*$D$65)))</f>
        <v>0.18285078514492295</v>
      </c>
      <c r="H143" s="97">
        <f>((TLAR!$B$40)/(TLAR!$B$40-1))*(TLAR!$F$14/AX143)*((TLAR!$F$19*0.01)+2*SQRT(($E$64)/(PI()*'Drag Polar'!$D$6*$E$65)))</f>
        <v>0.25868382963976566</v>
      </c>
      <c r="I143" s="97">
        <f>((TLAR!$B$40)/(TLAR!$B$40-1))*(TLAR!$F$21/BD143)*((TLAR!$F$26*0.01)+2*SQRT(($F$64)/(PI()*'Drag Polar'!$D$6*$F$65)))</f>
        <v>0.27677578006916165</v>
      </c>
      <c r="J143" s="97">
        <f>((TLAR!$B$40)/(TLAR!$B$40-1))*(TLAR!$F$28/BJ143)*((TLAR!$F$33*0.01)+2*SQRT(($G$64)/(PI()*'Drag Polar'!$D$6*$G$65)))</f>
        <v>0.1843991996248838</v>
      </c>
      <c r="K143" s="97">
        <f>((TLAR!$B$40)/(TLAR!$B$40-1))*(TLAR!$F$35/BP143)*((TLAR!$F$40*0.01)+2*SQRT(($H$64)/(PI()*'Drag Polar'!$D$6*$H$65)))</f>
        <v>0.22952202946086198</v>
      </c>
      <c r="L143" s="15">
        <f>1.15*SQRT(((TLAR!$B$40)/(TLAR!$B$40-1))*((B143)/($D$73*0.85*1.225*9.81*PI()*'Drag Polar'!$E$42*'Drag Polar'!$D$6)))+((TLAR!$B$40)/(TLAR!$B$40-1))*((4*11)/($D$73))</f>
        <v>0.16177835643743482</v>
      </c>
      <c r="M143" s="15"/>
      <c r="N143" s="15"/>
      <c r="O143" s="15"/>
      <c r="P143" s="15"/>
      <c r="Q143" s="15"/>
      <c r="R143" s="15"/>
      <c r="S143" s="15"/>
      <c r="T143" s="15"/>
      <c r="U143" s="15"/>
      <c r="V143" s="15"/>
      <c r="W143" s="15"/>
      <c r="X143" s="15"/>
      <c r="Y143" s="15"/>
      <c r="Z143" s="15"/>
      <c r="AA143" s="15"/>
      <c r="AB143" s="15"/>
      <c r="AC143" s="15"/>
      <c r="AD143" s="15"/>
      <c r="AI143" s="95">
        <f t="shared" si="22"/>
        <v>147.23194087594217</v>
      </c>
      <c r="AJ143" s="96">
        <f t="shared" si="3"/>
        <v>0.47402594567814815</v>
      </c>
      <c r="AK143" s="92">
        <f t="shared" si="4"/>
        <v>45836.607175536381</v>
      </c>
      <c r="AL143" s="96">
        <f>((AK143)/(101325))*(1-(0.43+0.014*'Drag Polar'!$D$31)*SQRT(AJ143))</f>
        <v>0.29664406693927425</v>
      </c>
      <c r="AN143" s="92"/>
      <c r="AO143" s="95">
        <f t="shared" si="5"/>
        <v>55.578589329315783</v>
      </c>
      <c r="AP143" s="96">
        <f t="shared" si="6"/>
        <v>0.16332367322172195</v>
      </c>
      <c r="AQ143" s="92">
        <f t="shared" si="7"/>
        <v>103229.61480400695</v>
      </c>
      <c r="AR143" s="96">
        <f>((AQ143)/(101325))*(1-(0.43+0.014*'Drag Polar'!$D$31)*SQRT(AP143))</f>
        <v>0.81293220442327241</v>
      </c>
      <c r="AS143" s="92"/>
      <c r="AT143" s="92"/>
      <c r="AU143" s="95">
        <f t="shared" si="8"/>
        <v>62.138751916947271</v>
      </c>
      <c r="AV143" s="96">
        <f t="shared" si="9"/>
        <v>0.1826014178293662</v>
      </c>
      <c r="AW143" s="92">
        <f t="shared" si="10"/>
        <v>103709.73496352904</v>
      </c>
      <c r="AX143" s="96">
        <f>((AW143)/(101325))*(1-(0.43+0.014*'Drag Polar'!$D$31)*SQRT(AV143))</f>
        <v>0.80484748597240652</v>
      </c>
      <c r="AY143" s="92"/>
      <c r="AZ143" s="92"/>
      <c r="BA143" s="95">
        <f t="shared" si="11"/>
        <v>62.138751916947271</v>
      </c>
      <c r="BB143" s="96">
        <f t="shared" si="12"/>
        <v>0.1826014178293662</v>
      </c>
      <c r="BC143" s="92">
        <f t="shared" si="13"/>
        <v>103709.73496352904</v>
      </c>
      <c r="BD143" s="96">
        <f>((BC143)/(101325))*(1-(0.43+0.014*'Drag Polar'!$D$31)*SQRT(BB143))</f>
        <v>0.80484748597240652</v>
      </c>
      <c r="BE143" s="92"/>
      <c r="BF143" s="92"/>
      <c r="BG143" s="95">
        <f t="shared" si="14"/>
        <v>62.138751916947271</v>
      </c>
      <c r="BH143" s="96">
        <f t="shared" si="15"/>
        <v>0.1826014178293662</v>
      </c>
      <c r="BI143" s="92">
        <f t="shared" si="16"/>
        <v>103709.73496352904</v>
      </c>
      <c r="BJ143" s="96">
        <f>((BI143)/(101325))*(1-(0.43+0.014*'Drag Polar'!$D$31)*SQRT(BH143))</f>
        <v>0.80484748597240652</v>
      </c>
      <c r="BK143" s="92"/>
      <c r="BL143" s="92"/>
      <c r="BM143" s="95">
        <f t="shared" si="17"/>
        <v>55.578589329315783</v>
      </c>
      <c r="BN143" s="96">
        <f t="shared" si="18"/>
        <v>0.16332367322172195</v>
      </c>
      <c r="BO143" s="92">
        <f t="shared" si="19"/>
        <v>103229.61480400695</v>
      </c>
      <c r="BP143" s="96">
        <f>((BO143)/(101325))*(1-(0.43+0.014*'Drag Polar'!$D$31)*SQRT(BN143))</f>
        <v>0.81293220442327241</v>
      </c>
      <c r="BQ143" s="92"/>
      <c r="BR143" s="92"/>
      <c r="BS143" s="95">
        <f t="shared" si="0"/>
        <v>147.23194087594217</v>
      </c>
      <c r="BT143" s="96">
        <f t="shared" si="20"/>
        <v>0.47402594567814815</v>
      </c>
      <c r="BU143" s="92">
        <f t="shared" si="21"/>
        <v>45836.607175536381</v>
      </c>
      <c r="BV143" s="96">
        <f>((BU143)/(101325))*(1-(0.43+0.014*'Drag Polar'!$D$31)*SQRT(BT143))</f>
        <v>0.29664406693927425</v>
      </c>
      <c r="BW143" s="92"/>
      <c r="BX143" s="92"/>
      <c r="BY143" s="92"/>
    </row>
    <row r="144" spans="1:77">
      <c r="A144" s="15"/>
      <c r="B144" s="88">
        <v>4400</v>
      </c>
      <c r="C144" s="89">
        <f t="shared" si="1"/>
        <v>5379.4075927863296</v>
      </c>
      <c r="D144" s="89">
        <f t="shared" si="2"/>
        <v>5788.633461047255</v>
      </c>
      <c r="E144" s="90">
        <f>(TLAR!$B$21/$AN$96)*(('Drag Polar'!$D$39*0.5*(1.225*0.3345)*Sheet1!$C$5^2)/(TLAR!$B$21*B144)+(TLAR!$B$21*B144)/('Drag Polar'!$D$26*PI()*'Drag Polar'!$D$6*0.5*(1.225*0.3345)*Sheet1!$C$5^2))</f>
        <v>0.35018992066282156</v>
      </c>
      <c r="F144" s="90">
        <f>((TLAR!$B$21/AL144))*(SQRT(($D$47^2*(1.225*0.3345)*SQRT(Sheet1!$C$9))/((TLAR!$B$21*B144*2)))+2*SQRT(Sheet1!$C$10))</f>
        <v>0.28710040842725537</v>
      </c>
      <c r="G144" s="97">
        <f>((TLAR!$B$40)/(TLAR!$B$40-0))*(TLAR!$F$6/AR144)*((TLAR!$F$11*0.01)+2*SQRT(($D$64)/(PI()*'Drag Polar'!$D$6*$D$65)))</f>
        <v>0.18303899912126712</v>
      </c>
      <c r="H144" s="97">
        <f>((TLAR!$B$40)/(TLAR!$B$40-1))*(TLAR!$F$14/AX144)*((TLAR!$F$19*0.01)+2*SQRT(($E$64)/(PI()*'Drag Polar'!$D$6*$E$65)))</f>
        <v>0.25894994642353342</v>
      </c>
      <c r="I144" s="97">
        <f>((TLAR!$B$40)/(TLAR!$B$40-1))*(TLAR!$F$21/BD144)*((TLAR!$F$26*0.01)+2*SQRT(($F$64)/(PI()*'Drag Polar'!$D$6*$F$65)))</f>
        <v>0.27706050865277421</v>
      </c>
      <c r="J144" s="97">
        <f>((TLAR!$B$40)/(TLAR!$B$40-1))*(TLAR!$F$28/BJ144)*((TLAR!$F$33*0.01)+2*SQRT(($G$64)/(PI()*'Drag Polar'!$D$6*$G$65)))</f>
        <v>0.1845888973033272</v>
      </c>
      <c r="K144" s="97">
        <f>((TLAR!$B$40)/(TLAR!$B$40-1))*(TLAR!$F$35/BP144)*((TLAR!$F$40*0.01)+2*SQRT(($H$64)/(PI()*'Drag Polar'!$D$6*$H$65)))</f>
        <v>0.22975828359446704</v>
      </c>
      <c r="L144" s="15">
        <f>1.15*SQRT(((TLAR!$B$40)/(TLAR!$B$40-1))*((B144)/($D$73*0.85*1.225*9.81*PI()*'Drag Polar'!$E$42*'Drag Polar'!$D$6)))+((TLAR!$B$40)/(TLAR!$B$40-1))*((4*11)/($D$73))</f>
        <v>0.16326907111195815</v>
      </c>
      <c r="M144" s="15"/>
      <c r="N144" s="15"/>
      <c r="O144" s="15"/>
      <c r="P144" s="15"/>
      <c r="Q144" s="15"/>
      <c r="R144" s="15"/>
      <c r="S144" s="15"/>
      <c r="T144" s="15"/>
      <c r="U144" s="15"/>
      <c r="V144" s="15"/>
      <c r="W144" s="15"/>
      <c r="X144" s="15"/>
      <c r="Y144" s="15"/>
      <c r="Z144" s="15"/>
      <c r="AA144" s="15"/>
      <c r="AB144" s="15"/>
      <c r="AC144" s="15"/>
      <c r="AD144" s="15"/>
      <c r="AI144" s="95">
        <f t="shared" si="22"/>
        <v>148.93410078694356</v>
      </c>
      <c r="AJ144" s="96">
        <f t="shared" si="3"/>
        <v>0.47950619647636139</v>
      </c>
      <c r="AK144" s="92">
        <f t="shared" si="4"/>
        <v>45997.263476790271</v>
      </c>
      <c r="AL144" s="96">
        <f>((AK144)/(101325))*(1-(0.43+0.014*'Drag Polar'!$D$31)*SQRT(AJ144))</f>
        <v>0.29678304647364667</v>
      </c>
      <c r="AN144" s="92"/>
      <c r="AO144" s="95">
        <f t="shared" si="5"/>
        <v>56.221137719994708</v>
      </c>
      <c r="AP144" s="96">
        <f t="shared" si="6"/>
        <v>0.1652118709009861</v>
      </c>
      <c r="AQ144" s="92">
        <f t="shared" si="7"/>
        <v>103274.21003247239</v>
      </c>
      <c r="AR144" s="96">
        <f>((AQ144)/(101325))*(1-(0.43+0.014*'Drag Polar'!$D$31)*SQRT(AP144))</f>
        <v>0.81209628856147642</v>
      </c>
      <c r="AS144" s="92"/>
      <c r="AT144" s="92"/>
      <c r="AU144" s="95">
        <f t="shared" si="8"/>
        <v>62.857142857142854</v>
      </c>
      <c r="AV144" s="96">
        <f t="shared" si="9"/>
        <v>0.18471248701226217</v>
      </c>
      <c r="AW144" s="92">
        <f t="shared" si="10"/>
        <v>103765.66620827217</v>
      </c>
      <c r="AX144" s="96">
        <f>((AW144)/(101325))*(1-(0.43+0.014*'Drag Polar'!$D$31)*SQRT(AV144))</f>
        <v>0.80402036309654312</v>
      </c>
      <c r="AY144" s="92"/>
      <c r="AZ144" s="92"/>
      <c r="BA144" s="95">
        <f t="shared" si="11"/>
        <v>62.857142857142854</v>
      </c>
      <c r="BB144" s="96">
        <f t="shared" si="12"/>
        <v>0.18471248701226217</v>
      </c>
      <c r="BC144" s="92">
        <f t="shared" si="13"/>
        <v>103765.66620827217</v>
      </c>
      <c r="BD144" s="96">
        <f>((BC144)/(101325))*(1-(0.43+0.014*'Drag Polar'!$D$31)*SQRT(BB144))</f>
        <v>0.80402036309654312</v>
      </c>
      <c r="BE144" s="92"/>
      <c r="BF144" s="92"/>
      <c r="BG144" s="95">
        <f t="shared" si="14"/>
        <v>62.857142857142854</v>
      </c>
      <c r="BH144" s="96">
        <f t="shared" si="15"/>
        <v>0.18471248701226217</v>
      </c>
      <c r="BI144" s="92">
        <f t="shared" si="16"/>
        <v>103765.66620827217</v>
      </c>
      <c r="BJ144" s="96">
        <f>((BI144)/(101325))*(1-(0.43+0.014*'Drag Polar'!$D$31)*SQRT(BH144))</f>
        <v>0.80402036309654312</v>
      </c>
      <c r="BK144" s="92"/>
      <c r="BL144" s="92"/>
      <c r="BM144" s="95">
        <f t="shared" si="17"/>
        <v>56.221137719994708</v>
      </c>
      <c r="BN144" s="96">
        <f t="shared" si="18"/>
        <v>0.1652118709009861</v>
      </c>
      <c r="BO144" s="92">
        <f t="shared" si="19"/>
        <v>103274.21003247239</v>
      </c>
      <c r="BP144" s="96">
        <f>((BO144)/(101325))*(1-(0.43+0.014*'Drag Polar'!$D$31)*SQRT(BN144))</f>
        <v>0.81209628856147642</v>
      </c>
      <c r="BQ144" s="92"/>
      <c r="BR144" s="92"/>
      <c r="BS144" s="95">
        <f t="shared" si="0"/>
        <v>148.93410078694356</v>
      </c>
      <c r="BT144" s="96">
        <f t="shared" si="20"/>
        <v>0.47950619647636139</v>
      </c>
      <c r="BU144" s="92">
        <f t="shared" si="21"/>
        <v>45997.263476790271</v>
      </c>
      <c r="BV144" s="96">
        <f>((BU144)/(101325))*(1-(0.43+0.014*'Drag Polar'!$D$31)*SQRT(BT144))</f>
        <v>0.29678304647364667</v>
      </c>
      <c r="BW144" s="92"/>
      <c r="BX144" s="92"/>
      <c r="BY144" s="92"/>
    </row>
    <row r="145" spans="1:77">
      <c r="A145" s="15"/>
      <c r="B145" s="88">
        <v>4500</v>
      </c>
      <c r="C145" s="89">
        <f t="shared" si="1"/>
        <v>5379.4075927863296</v>
      </c>
      <c r="D145" s="89">
        <f t="shared" si="2"/>
        <v>5788.633461047255</v>
      </c>
      <c r="E145" s="90">
        <f>(TLAR!$B$21/$AN$96)*(('Drag Polar'!$D$39*0.5*(1.225*0.3345)*Sheet1!$C$5^2)/(TLAR!$B$21*B145)+(TLAR!$B$21*B145)/('Drag Polar'!$D$26*PI()*'Drag Polar'!$D$6*0.5*(1.225*0.3345)*Sheet1!$C$5^2))</f>
        <v>0.34540824622679417</v>
      </c>
      <c r="F145" s="90">
        <f>((TLAR!$B$21/AL145))*(SQRT(($D$47^2*(1.225*0.3345)*SQRT(Sheet1!$C$9))/((TLAR!$B$21*B145*2)))+2*SQRT(Sheet1!$C$10))</f>
        <v>0.28597232133665185</v>
      </c>
      <c r="G145" s="97">
        <f>((TLAR!$B$40)/(TLAR!$B$40-0))*(TLAR!$F$6/AR145)*((TLAR!$F$11*0.01)+2*SQRT(($D$64)/(PI()*'Drag Polar'!$D$6*$D$65)))</f>
        <v>0.18322327433806621</v>
      </c>
      <c r="H145" s="97">
        <f>((TLAR!$B$40)/(TLAR!$B$40-1))*(TLAR!$F$14/AX145)*((TLAR!$F$19*0.01)+2*SQRT(($E$64)/(PI()*'Drag Polar'!$D$6*$E$65)))</f>
        <v>0.25921011282152262</v>
      </c>
      <c r="I145" s="97">
        <f>((TLAR!$B$40)/(TLAR!$B$40-1))*(TLAR!$F$21/BD145)*((TLAR!$F$26*0.01)+2*SQRT(($F$64)/(PI()*'Drag Polar'!$D$6*$F$65)))</f>
        <v>0.27733887068975011</v>
      </c>
      <c r="J145" s="97">
        <f>((TLAR!$B$40)/(TLAR!$B$40-1))*(TLAR!$F$28/BJ145)*((TLAR!$F$33*0.01)+2*SQRT(($G$64)/(PI()*'Drag Polar'!$D$6*$G$65)))</f>
        <v>0.18477435333134917</v>
      </c>
      <c r="K145" s="97">
        <f>((TLAR!$B$40)/(TLAR!$B$40-1))*(TLAR!$F$35/BP145)*((TLAR!$F$40*0.01)+2*SQRT(($H$64)/(PI()*'Drag Polar'!$D$6*$H$65)))</f>
        <v>0.22998959363071078</v>
      </c>
      <c r="L145" s="15">
        <f>1.15*SQRT(((TLAR!$B$40)/(TLAR!$B$40-1))*((B145)/($D$73*0.85*1.225*9.81*PI()*'Drag Polar'!$E$42*'Drag Polar'!$D$6)))+((TLAR!$B$40)/(TLAR!$B$40-1))*((4*11)/($D$73))</f>
        <v>0.16474293993035433</v>
      </c>
      <c r="M145" s="15"/>
      <c r="N145" s="15"/>
      <c r="O145" s="15"/>
      <c r="P145" s="15"/>
      <c r="Q145" s="15"/>
      <c r="R145" s="15"/>
      <c r="S145" s="15"/>
      <c r="T145" s="15"/>
      <c r="U145" s="15"/>
      <c r="V145" s="15"/>
      <c r="W145" s="15"/>
      <c r="X145" s="15"/>
      <c r="Y145" s="15"/>
      <c r="Z145" s="15"/>
      <c r="AA145" s="15"/>
      <c r="AB145" s="15"/>
      <c r="AC145" s="15"/>
      <c r="AD145" s="15"/>
      <c r="AI145" s="95">
        <f t="shared" si="22"/>
        <v>150.61702539996597</v>
      </c>
      <c r="AJ145" s="96">
        <f t="shared" si="3"/>
        <v>0.48492451757195276</v>
      </c>
      <c r="AK145" s="92">
        <f t="shared" si="4"/>
        <v>46158.321587818711</v>
      </c>
      <c r="AL145" s="96">
        <f>((AK145)/(101325))*(1-(0.43+0.014*'Drag Polar'!$D$31)*SQRT(AJ145))</f>
        <v>0.29693359721869994</v>
      </c>
      <c r="AN145" s="92"/>
      <c r="AO145" s="95">
        <f t="shared" si="5"/>
        <v>56.856424977521137</v>
      </c>
      <c r="AP145" s="96">
        <f t="shared" si="6"/>
        <v>0.1670787309581096</v>
      </c>
      <c r="AQ145" s="92">
        <f t="shared" si="7"/>
        <v>103318.81902006382</v>
      </c>
      <c r="AR145" s="96">
        <f>((AQ145)/(101325))*(1-(0.43+0.014*'Drag Polar'!$D$31)*SQRT(AP145))</f>
        <v>0.81127952977263229</v>
      </c>
      <c r="AS145" s="92"/>
      <c r="AT145" s="92"/>
      <c r="AU145" s="95">
        <f t="shared" si="8"/>
        <v>63.567415603677105</v>
      </c>
      <c r="AV145" s="96">
        <f t="shared" si="9"/>
        <v>0.18679970000836582</v>
      </c>
      <c r="AW145" s="92">
        <f t="shared" si="10"/>
        <v>103821.61899543589</v>
      </c>
      <c r="AX145" s="96">
        <f>((AW145)/(101325))*(1-(0.43+0.014*'Drag Polar'!$D$31)*SQRT(AV145))</f>
        <v>0.80321337651912961</v>
      </c>
      <c r="AY145" s="92"/>
      <c r="AZ145" s="92"/>
      <c r="BA145" s="95">
        <f t="shared" si="11"/>
        <v>63.567415603677105</v>
      </c>
      <c r="BB145" s="96">
        <f t="shared" si="12"/>
        <v>0.18679970000836582</v>
      </c>
      <c r="BC145" s="92">
        <f t="shared" si="13"/>
        <v>103821.61899543589</v>
      </c>
      <c r="BD145" s="96">
        <f>((BC145)/(101325))*(1-(0.43+0.014*'Drag Polar'!$D$31)*SQRT(BB145))</f>
        <v>0.80321337651912961</v>
      </c>
      <c r="BE145" s="92"/>
      <c r="BF145" s="92"/>
      <c r="BG145" s="95">
        <f t="shared" si="14"/>
        <v>63.567415603677105</v>
      </c>
      <c r="BH145" s="96">
        <f t="shared" si="15"/>
        <v>0.18679970000836582</v>
      </c>
      <c r="BI145" s="92">
        <f t="shared" si="16"/>
        <v>103821.61899543589</v>
      </c>
      <c r="BJ145" s="96">
        <f>((BI145)/(101325))*(1-(0.43+0.014*'Drag Polar'!$D$31)*SQRT(BH145))</f>
        <v>0.80321337651912961</v>
      </c>
      <c r="BK145" s="92"/>
      <c r="BL145" s="92"/>
      <c r="BM145" s="95">
        <f t="shared" si="17"/>
        <v>56.856424977521137</v>
      </c>
      <c r="BN145" s="96">
        <f t="shared" si="18"/>
        <v>0.1670787309581096</v>
      </c>
      <c r="BO145" s="92">
        <f t="shared" si="19"/>
        <v>103318.81902006382</v>
      </c>
      <c r="BP145" s="96">
        <f>((BO145)/(101325))*(1-(0.43+0.014*'Drag Polar'!$D$31)*SQRT(BN145))</f>
        <v>0.81127952977263229</v>
      </c>
      <c r="BQ145" s="92"/>
      <c r="BR145" s="92"/>
      <c r="BS145" s="95">
        <f t="shared" si="0"/>
        <v>150.61702539996597</v>
      </c>
      <c r="BT145" s="96">
        <f t="shared" si="20"/>
        <v>0.48492451757195276</v>
      </c>
      <c r="BU145" s="92">
        <f t="shared" si="21"/>
        <v>46158.321587818711</v>
      </c>
      <c r="BV145" s="96">
        <f>((BU145)/(101325))*(1-(0.43+0.014*'Drag Polar'!$D$31)*SQRT(BT145))</f>
        <v>0.29693359721869994</v>
      </c>
      <c r="BW145" s="92"/>
      <c r="BX145" s="92"/>
      <c r="BY145" s="92"/>
    </row>
    <row r="146" spans="1:77">
      <c r="A146" s="15"/>
      <c r="B146" s="88">
        <v>4600</v>
      </c>
      <c r="C146" s="89">
        <f t="shared" si="1"/>
        <v>5379.4075927863296</v>
      </c>
      <c r="D146" s="89">
        <f t="shared" si="2"/>
        <v>5788.633461047255</v>
      </c>
      <c r="E146" s="90">
        <f>(TLAR!$B$21/$AN$96)*(('Drag Polar'!$D$39*0.5*(1.225*0.3345)*Sheet1!$C$5^2)/(TLAR!$B$21*B146)+(TLAR!$B$21*B146)/('Drag Polar'!$D$26*PI()*'Drag Polar'!$D$6*0.5*(1.225*0.3345)*Sheet1!$C$5^2))</f>
        <v>0.34090042796851372</v>
      </c>
      <c r="F146" s="90">
        <f>((TLAR!$B$21/AL146))*(SQRT(($D$47^2*(1.225*0.3345)*SQRT(Sheet1!$C$9))/((TLAR!$B$21*B146*2)))+2*SQRT(Sheet1!$C$10))</f>
        <v>0.28486691364490013</v>
      </c>
      <c r="G146" s="97">
        <f>((TLAR!$B$40)/(TLAR!$B$40-0))*(TLAR!$F$6/AR146)*((TLAR!$F$11*0.01)+2*SQRT(($D$64)/(PI()*'Drag Polar'!$D$6*$D$65)))</f>
        <v>0.18340375533481174</v>
      </c>
      <c r="H146" s="97">
        <f>((TLAR!$B$40)/(TLAR!$B$40-1))*(TLAR!$F$14/AX146)*((TLAR!$F$19*0.01)+2*SQRT(($E$64)/(PI()*'Drag Polar'!$D$6*$E$65)))</f>
        <v>0.25946454655528961</v>
      </c>
      <c r="I146" s="97">
        <f>((TLAR!$B$40)/(TLAR!$B$40-1))*(TLAR!$F$21/BD146)*((TLAR!$F$26*0.01)+2*SQRT(($F$64)/(PI()*'Drag Polar'!$D$6*$F$65)))</f>
        <v>0.27761109912875742</v>
      </c>
      <c r="J146" s="97">
        <f>((TLAR!$B$40)/(TLAR!$B$40-1))*(TLAR!$F$28/BJ146)*((TLAR!$F$33*0.01)+2*SQRT(($G$64)/(PI()*'Drag Polar'!$D$6*$G$65)))</f>
        <v>0.18495572290875781</v>
      </c>
      <c r="K146" s="97">
        <f>((TLAR!$B$40)/(TLAR!$B$40-1))*(TLAR!$F$35/BP146)*((TLAR!$F$40*0.01)+2*SQRT(($H$64)/(PI()*'Drag Polar'!$D$6*$H$65)))</f>
        <v>0.23021614100166857</v>
      </c>
      <c r="L146" s="15">
        <f>1.15*SQRT(((TLAR!$B$40)/(TLAR!$B$40-1))*((B146)/($D$73*0.85*1.225*9.81*PI()*'Drag Polar'!$E$42*'Drag Polar'!$D$6)))+((TLAR!$B$40)/(TLAR!$B$40-1))*((4*11)/($D$73))</f>
        <v>0.16620052140549732</v>
      </c>
      <c r="M146" s="15"/>
      <c r="N146" s="15"/>
      <c r="O146" s="15"/>
      <c r="P146" s="15"/>
      <c r="Q146" s="15"/>
      <c r="R146" s="15"/>
      <c r="S146" s="15"/>
      <c r="T146" s="15"/>
      <c r="U146" s="15"/>
      <c r="V146" s="15"/>
      <c r="W146" s="15"/>
      <c r="X146" s="15"/>
      <c r="Y146" s="15"/>
      <c r="Z146" s="15"/>
      <c r="AA146" s="15"/>
      <c r="AB146" s="15"/>
      <c r="AC146" s="15"/>
      <c r="AD146" s="15"/>
      <c r="AI146" s="95">
        <f t="shared" si="22"/>
        <v>152.28135244819873</v>
      </c>
      <c r="AJ146" s="96">
        <f t="shared" si="3"/>
        <v>0.4902829622019873</v>
      </c>
      <c r="AK146" s="92">
        <f t="shared" si="4"/>
        <v>46319.782110987529</v>
      </c>
      <c r="AL146" s="96">
        <f>((AK146)/(101325))*(1-(0.43+0.014*'Drag Polar'!$D$31)*SQRT(AJ146))</f>
        <v>0.29709526835892475</v>
      </c>
      <c r="AN146" s="92"/>
      <c r="AO146" s="95">
        <f t="shared" si="5"/>
        <v>57.484691839813905</v>
      </c>
      <c r="AP146" s="96">
        <f t="shared" si="6"/>
        <v>0.16892496082740599</v>
      </c>
      <c r="AQ146" s="92">
        <f t="shared" si="7"/>
        <v>103363.44176932787</v>
      </c>
      <c r="AR146" s="96">
        <f>((AQ146)/(101325))*(1-(0.43+0.014*'Drag Polar'!$D$31)*SQRT(AP146))</f>
        <v>0.81048117895421368</v>
      </c>
      <c r="AS146" s="92"/>
      <c r="AT146" s="92"/>
      <c r="AU146" s="95">
        <f t="shared" si="8"/>
        <v>64.269839309725668</v>
      </c>
      <c r="AV146" s="96">
        <f t="shared" si="9"/>
        <v>0.18886384775328444</v>
      </c>
      <c r="AW146" s="92">
        <f t="shared" si="10"/>
        <v>103877.59332999768</v>
      </c>
      <c r="AX146" s="96">
        <f>((AW146)/(101325))*(1-(0.43+0.014*'Drag Polar'!$D$31)*SQRT(AV146))</f>
        <v>0.8024257368160852</v>
      </c>
      <c r="AY146" s="92"/>
      <c r="AZ146" s="92"/>
      <c r="BA146" s="95">
        <f t="shared" si="11"/>
        <v>64.269839309725668</v>
      </c>
      <c r="BB146" s="96">
        <f t="shared" si="12"/>
        <v>0.18886384775328444</v>
      </c>
      <c r="BC146" s="92">
        <f t="shared" si="13"/>
        <v>103877.59332999768</v>
      </c>
      <c r="BD146" s="96">
        <f>((BC146)/(101325))*(1-(0.43+0.014*'Drag Polar'!$D$31)*SQRT(BB146))</f>
        <v>0.8024257368160852</v>
      </c>
      <c r="BE146" s="92"/>
      <c r="BF146" s="92"/>
      <c r="BG146" s="95">
        <f t="shared" si="14"/>
        <v>64.269839309725668</v>
      </c>
      <c r="BH146" s="96">
        <f t="shared" si="15"/>
        <v>0.18886384775328444</v>
      </c>
      <c r="BI146" s="92">
        <f t="shared" si="16"/>
        <v>103877.59332999768</v>
      </c>
      <c r="BJ146" s="96">
        <f>((BI146)/(101325))*(1-(0.43+0.014*'Drag Polar'!$D$31)*SQRT(BH146))</f>
        <v>0.8024257368160852</v>
      </c>
      <c r="BK146" s="92"/>
      <c r="BL146" s="92"/>
      <c r="BM146" s="95">
        <f t="shared" si="17"/>
        <v>57.484691839813905</v>
      </c>
      <c r="BN146" s="96">
        <f t="shared" si="18"/>
        <v>0.16892496082740599</v>
      </c>
      <c r="BO146" s="92">
        <f t="shared" si="19"/>
        <v>103363.44176932787</v>
      </c>
      <c r="BP146" s="96">
        <f>((BO146)/(101325))*(1-(0.43+0.014*'Drag Polar'!$D$31)*SQRT(BN146))</f>
        <v>0.81048117895421368</v>
      </c>
      <c r="BQ146" s="92"/>
      <c r="BR146" s="92"/>
      <c r="BS146" s="95">
        <f t="shared" si="0"/>
        <v>152.28135244819873</v>
      </c>
      <c r="BT146" s="96">
        <f t="shared" si="20"/>
        <v>0.4902829622019873</v>
      </c>
      <c r="BU146" s="92">
        <f t="shared" si="21"/>
        <v>46319.782110987529</v>
      </c>
      <c r="BV146" s="96">
        <f>((BU146)/(101325))*(1-(0.43+0.014*'Drag Polar'!$D$31)*SQRT(BT146))</f>
        <v>0.29709526835892475</v>
      </c>
      <c r="BW146" s="92"/>
      <c r="BX146" s="92"/>
      <c r="BY146" s="92"/>
    </row>
    <row r="147" spans="1:77">
      <c r="A147" s="15"/>
      <c r="B147" s="88">
        <v>4700</v>
      </c>
      <c r="C147" s="89">
        <f t="shared" si="1"/>
        <v>5379.4075927863296</v>
      </c>
      <c r="D147" s="89">
        <f t="shared" si="2"/>
        <v>5788.633461047255</v>
      </c>
      <c r="E147" s="90">
        <f>(TLAR!$B$21/$AN$96)*(('Drag Polar'!$D$39*0.5*(1.225*0.3345)*Sheet1!$C$5^2)/(TLAR!$B$21*B147)+(TLAR!$B$21*B147)/('Drag Polar'!$D$26*PI()*'Drag Polar'!$D$6*0.5*(1.225*0.3345)*Sheet1!$C$5^2))</f>
        <v>0.33664898570642193</v>
      </c>
      <c r="F147" s="90">
        <f>((TLAR!$B$21/AL147))*(SQRT(($D$47^2*(1.225*0.3345)*SQRT(Sheet1!$C$9))/((TLAR!$B$21*B147*2)))+2*SQRT(Sheet1!$C$10))</f>
        <v>0.28378295540594894</v>
      </c>
      <c r="G147" s="97">
        <f>((TLAR!$B$40)/(TLAR!$B$40-0))*(TLAR!$F$6/AR147)*((TLAR!$F$11*0.01)+2*SQRT(($D$64)/(PI()*'Drag Polar'!$D$6*$D$65)))</f>
        <v>0.18358057829863964</v>
      </c>
      <c r="H147" s="97">
        <f>((TLAR!$B$40)/(TLAR!$B$40-1))*(TLAR!$F$14/AX147)*((TLAR!$F$19*0.01)+2*SQRT(($E$64)/(PI()*'Drag Polar'!$D$6*$E$65)))</f>
        <v>0.25971345279739888</v>
      </c>
      <c r="I147" s="97">
        <f>((TLAR!$B$40)/(TLAR!$B$40-1))*(TLAR!$F$21/BD147)*((TLAR!$F$26*0.01)+2*SQRT(($F$64)/(PI()*'Drag Polar'!$D$6*$F$65)))</f>
        <v>0.27787741349181527</v>
      </c>
      <c r="J147" s="97">
        <f>((TLAR!$B$40)/(TLAR!$B$40-1))*(TLAR!$F$28/BJ147)*((TLAR!$F$33*0.01)+2*SQRT(($G$64)/(PI()*'Drag Polar'!$D$6*$G$65)))</f>
        <v>0.18513315228998548</v>
      </c>
      <c r="K147" s="97">
        <f>((TLAR!$B$40)/(TLAR!$B$40-1))*(TLAR!$F$35/BP147)*((TLAR!$F$40*0.01)+2*SQRT(($H$64)/(PI()*'Drag Polar'!$D$6*$H$65)))</f>
        <v>0.23043809665518622</v>
      </c>
      <c r="L147" s="15">
        <f>1.15*SQRT(((TLAR!$B$40)/(TLAR!$B$40-1))*((B147)/($D$73*0.85*1.225*9.81*PI()*'Drag Polar'!$E$42*'Drag Polar'!$D$6)))+((TLAR!$B$40)/(TLAR!$B$40-1))*((4*11)/($D$73))</f>
        <v>0.16764234385402499</v>
      </c>
      <c r="M147" s="15"/>
      <c r="N147" s="15"/>
      <c r="O147" s="15"/>
      <c r="P147" s="15"/>
      <c r="Q147" s="15"/>
      <c r="R147" s="15"/>
      <c r="S147" s="15"/>
      <c r="T147" s="15"/>
      <c r="U147" s="15"/>
      <c r="V147" s="15"/>
      <c r="W147" s="15"/>
      <c r="X147" s="15"/>
      <c r="Y147" s="15"/>
      <c r="Z147" s="15"/>
      <c r="AA147" s="15"/>
      <c r="AB147" s="15"/>
      <c r="AC147" s="15"/>
      <c r="AD147" s="15"/>
      <c r="AI147" s="95">
        <f t="shared" si="22"/>
        <v>153.92768518551514</v>
      </c>
      <c r="AJ147" s="96">
        <f t="shared" si="3"/>
        <v>0.49558347259439511</v>
      </c>
      <c r="AK147" s="92">
        <f t="shared" si="4"/>
        <v>46481.645648963407</v>
      </c>
      <c r="AL147" s="96">
        <f>((AK147)/(101325))*(1-(0.43+0.014*'Drag Polar'!$D$31)*SQRT(AJ147))</f>
        <v>0.2972676367663849</v>
      </c>
      <c r="AN147" s="92"/>
      <c r="AO147" s="95">
        <f t="shared" si="5"/>
        <v>58.106166029193879</v>
      </c>
      <c r="AP147" s="96">
        <f t="shared" si="6"/>
        <v>0.17075122969545176</v>
      </c>
      <c r="AQ147" s="92">
        <f t="shared" si="7"/>
        <v>103408.07828281165</v>
      </c>
      <c r="AR147" s="96">
        <f>((AQ147)/(101325))*(1-(0.43+0.014*'Drag Polar'!$D$31)*SQRT(AP147))</f>
        <v>0.80970053164654332</v>
      </c>
      <c r="AS147" s="92"/>
      <c r="AT147" s="92"/>
      <c r="AU147" s="95">
        <f t="shared" si="8"/>
        <v>64.964668576583279</v>
      </c>
      <c r="AV147" s="96">
        <f t="shared" si="9"/>
        <v>0.19090567842035544</v>
      </c>
      <c r="AW147" s="92">
        <f t="shared" si="10"/>
        <v>103933.58921693554</v>
      </c>
      <c r="AX147" s="96">
        <f>((AW147)/(101325))*(1-(0.43+0.014*'Drag Polar'!$D$31)*SQRT(AV147))</f>
        <v>0.80165670166379954</v>
      </c>
      <c r="AY147" s="92"/>
      <c r="AZ147" s="92"/>
      <c r="BA147" s="95">
        <f t="shared" si="11"/>
        <v>64.964668576583279</v>
      </c>
      <c r="BB147" s="96">
        <f t="shared" si="12"/>
        <v>0.19090567842035544</v>
      </c>
      <c r="BC147" s="92">
        <f t="shared" si="13"/>
        <v>103933.58921693554</v>
      </c>
      <c r="BD147" s="96">
        <f>((BC147)/(101325))*(1-(0.43+0.014*'Drag Polar'!$D$31)*SQRT(BB147))</f>
        <v>0.80165670166379954</v>
      </c>
      <c r="BE147" s="92"/>
      <c r="BF147" s="92"/>
      <c r="BG147" s="95">
        <f t="shared" si="14"/>
        <v>64.964668576583279</v>
      </c>
      <c r="BH147" s="96">
        <f t="shared" si="15"/>
        <v>0.19090567842035544</v>
      </c>
      <c r="BI147" s="92">
        <f t="shared" si="16"/>
        <v>103933.58921693554</v>
      </c>
      <c r="BJ147" s="96">
        <f>((BI147)/(101325))*(1-(0.43+0.014*'Drag Polar'!$D$31)*SQRT(BH147))</f>
        <v>0.80165670166379954</v>
      </c>
      <c r="BK147" s="92"/>
      <c r="BL147" s="92"/>
      <c r="BM147" s="95">
        <f t="shared" si="17"/>
        <v>58.106166029193879</v>
      </c>
      <c r="BN147" s="96">
        <f t="shared" si="18"/>
        <v>0.17075122969545176</v>
      </c>
      <c r="BO147" s="92">
        <f t="shared" si="19"/>
        <v>103408.07828281165</v>
      </c>
      <c r="BP147" s="96">
        <f>((BO147)/(101325))*(1-(0.43+0.014*'Drag Polar'!$D$31)*SQRT(BN147))</f>
        <v>0.80970053164654332</v>
      </c>
      <c r="BQ147" s="92"/>
      <c r="BR147" s="92"/>
      <c r="BS147" s="95">
        <f t="shared" si="0"/>
        <v>153.92768518551514</v>
      </c>
      <c r="BT147" s="96">
        <f t="shared" si="20"/>
        <v>0.49558347259439511</v>
      </c>
      <c r="BU147" s="92">
        <f t="shared" si="21"/>
        <v>46481.645648963407</v>
      </c>
      <c r="BV147" s="96">
        <f>((BU147)/(101325))*(1-(0.43+0.014*'Drag Polar'!$D$31)*SQRT(BT147))</f>
        <v>0.2972676367663849</v>
      </c>
      <c r="BW147" s="92"/>
      <c r="BX147" s="92"/>
      <c r="BY147" s="92"/>
    </row>
    <row r="148" spans="1:77">
      <c r="A148" s="15"/>
      <c r="B148" s="88">
        <v>4800</v>
      </c>
      <c r="C148" s="89">
        <f t="shared" si="1"/>
        <v>5379.4075927863296</v>
      </c>
      <c r="D148" s="89">
        <f t="shared" si="2"/>
        <v>5788.633461047255</v>
      </c>
      <c r="E148" s="90">
        <f>(TLAR!$B$21/$AN$96)*(('Drag Polar'!$D$39*0.5*(1.225*0.3345)*Sheet1!$C$5^2)/(TLAR!$B$21*B148)+(TLAR!$B$21*B148)/('Drag Polar'!$D$26*PI()*'Drag Polar'!$D$6*0.5*(1.225*0.3345)*Sheet1!$C$5^2))</f>
        <v>0.33263789594075688</v>
      </c>
      <c r="F148" s="90">
        <f>((TLAR!$B$21/AL148))*(SQRT(($D$47^2*(1.225*0.3345)*SQRT(Sheet1!$C$9))/((TLAR!$B$21*B148*2)))+2*SQRT(Sheet1!$C$10))</f>
        <v>0.28271931045551063</v>
      </c>
      <c r="G148" s="97">
        <f>((TLAR!$B$40)/(TLAR!$B$40-0))*(TLAR!$F$6/AR148)*((TLAR!$F$11*0.01)+2*SQRT(($D$64)/(PI()*'Drag Polar'!$D$6*$D$65)))</f>
        <v>0.1837538717151119</v>
      </c>
      <c r="H148" s="97">
        <f>((TLAR!$B$40)/(TLAR!$B$40-1))*(TLAR!$F$14/AX148)*((TLAR!$F$19*0.01)+2*SQRT(($E$64)/(PI()*'Drag Polar'!$D$6*$E$65)))</f>
        <v>0.25995702514782237</v>
      </c>
      <c r="I148" s="97">
        <f>((TLAR!$B$40)/(TLAR!$B$40-1))*(TLAR!$F$21/BD148)*((TLAR!$F$26*0.01)+2*SQRT(($F$64)/(PI()*'Drag Polar'!$D$6*$F$65)))</f>
        <v>0.27813802091898077</v>
      </c>
      <c r="J148" s="97">
        <f>((TLAR!$B$40)/(TLAR!$B$40-1))*(TLAR!$F$28/BJ148)*((TLAR!$F$33*0.01)+2*SQRT(($G$64)/(PI()*'Drag Polar'!$D$6*$G$65)))</f>
        <v>0.18530677948010163</v>
      </c>
      <c r="K148" s="97">
        <f>((TLAR!$B$40)/(TLAR!$B$40-1))*(TLAR!$F$35/BP148)*((TLAR!$F$40*0.01)+2*SQRT(($H$64)/(PI()*'Drag Polar'!$D$6*$H$65)))</f>
        <v>0.23065562187176869</v>
      </c>
      <c r="L148" s="15">
        <f>1.15*SQRT(((TLAR!$B$40)/(TLAR!$B$40-1))*((B148)/($D$73*0.85*1.225*9.81*PI()*'Drag Polar'!$E$42*'Drag Polar'!$D$6)))+((TLAR!$B$40)/(TLAR!$B$40-1))*((4*11)/($D$73))</f>
        <v>0.16906890763368332</v>
      </c>
      <c r="M148" s="15"/>
      <c r="N148" s="15"/>
      <c r="O148" s="15"/>
      <c r="P148" s="15"/>
      <c r="Q148" s="15"/>
      <c r="R148" s="15"/>
      <c r="S148" s="15"/>
      <c r="T148" s="15"/>
      <c r="U148" s="15"/>
      <c r="V148" s="15"/>
      <c r="W148" s="15"/>
      <c r="X148" s="15"/>
      <c r="Y148" s="15"/>
      <c r="Z148" s="15"/>
      <c r="AA148" s="15"/>
      <c r="AB148" s="15"/>
      <c r="AC148" s="15"/>
      <c r="AD148" s="15"/>
      <c r="AI148" s="95">
        <f t="shared" si="22"/>
        <v>155.55659494116472</v>
      </c>
      <c r="AJ148" s="96">
        <f t="shared" si="3"/>
        <v>0.50082788819302371</v>
      </c>
      <c r="AK148" s="92">
        <f t="shared" si="4"/>
        <v>46643.912804713458</v>
      </c>
      <c r="AL148" s="96">
        <f>((AK148)/(101325))*(1-(0.43+0.014*'Drag Polar'!$D$31)*SQRT(AJ148))</f>
        <v>0.29745030476897133</v>
      </c>
      <c r="AN148" s="92"/>
      <c r="AO148" s="95">
        <f t="shared" si="5"/>
        <v>58.721063216754878</v>
      </c>
      <c r="AP148" s="96">
        <f t="shared" si="6"/>
        <v>0.17255817133499415</v>
      </c>
      <c r="AQ148" s="92">
        <f t="shared" si="7"/>
        <v>103452.72856306206</v>
      </c>
      <c r="AR148" s="96">
        <f>((AQ148)/(101325))*(1-(0.43+0.014*'Drag Polar'!$D$31)*SQRT(AP148))</f>
        <v>0.80893692449019461</v>
      </c>
      <c r="AS148" s="92"/>
      <c r="AT148" s="92"/>
      <c r="AU148" s="95">
        <f t="shared" si="8"/>
        <v>65.652144531863186</v>
      </c>
      <c r="AV148" s="96">
        <f t="shared" si="9"/>
        <v>0.19292590058905129</v>
      </c>
      <c r="AW148" s="92">
        <f t="shared" si="10"/>
        <v>103989.60666122779</v>
      </c>
      <c r="AX148" s="96">
        <f>((AW148)/(101325))*(1-(0.43+0.014*'Drag Polar'!$D$31)*SQRT(AV148))</f>
        <v>0.80090557209941893</v>
      </c>
      <c r="AY148" s="92"/>
      <c r="AZ148" s="92"/>
      <c r="BA148" s="95">
        <f t="shared" si="11"/>
        <v>65.652144531863186</v>
      </c>
      <c r="BB148" s="96">
        <f t="shared" si="12"/>
        <v>0.19292590058905129</v>
      </c>
      <c r="BC148" s="92">
        <f t="shared" si="13"/>
        <v>103989.60666122779</v>
      </c>
      <c r="BD148" s="96">
        <f>((BC148)/(101325))*(1-(0.43+0.014*'Drag Polar'!$D$31)*SQRT(BB148))</f>
        <v>0.80090557209941893</v>
      </c>
      <c r="BE148" s="92"/>
      <c r="BF148" s="92"/>
      <c r="BG148" s="95">
        <f t="shared" si="14"/>
        <v>65.652144531863186</v>
      </c>
      <c r="BH148" s="96">
        <f t="shared" si="15"/>
        <v>0.19292590058905129</v>
      </c>
      <c r="BI148" s="92">
        <f t="shared" si="16"/>
        <v>103989.60666122779</v>
      </c>
      <c r="BJ148" s="96">
        <f>((BI148)/(101325))*(1-(0.43+0.014*'Drag Polar'!$D$31)*SQRT(BH148))</f>
        <v>0.80090557209941893</v>
      </c>
      <c r="BK148" s="92"/>
      <c r="BL148" s="92"/>
      <c r="BM148" s="95">
        <f t="shared" si="17"/>
        <v>58.721063216754878</v>
      </c>
      <c r="BN148" s="96">
        <f t="shared" si="18"/>
        <v>0.17255817133499415</v>
      </c>
      <c r="BO148" s="92">
        <f t="shared" si="19"/>
        <v>103452.72856306206</v>
      </c>
      <c r="BP148" s="96">
        <f>((BO148)/(101325))*(1-(0.43+0.014*'Drag Polar'!$D$31)*SQRT(BN148))</f>
        <v>0.80893692449019461</v>
      </c>
      <c r="BQ148" s="92"/>
      <c r="BR148" s="92"/>
      <c r="BS148" s="95">
        <f t="shared" si="0"/>
        <v>155.55659494116472</v>
      </c>
      <c r="BT148" s="96">
        <f t="shared" si="20"/>
        <v>0.50082788819302371</v>
      </c>
      <c r="BU148" s="92">
        <f t="shared" si="21"/>
        <v>46643.912804713458</v>
      </c>
      <c r="BV148" s="96">
        <f>((BU148)/(101325))*(1-(0.43+0.014*'Drag Polar'!$D$31)*SQRT(BT148))</f>
        <v>0.29745030476897133</v>
      </c>
      <c r="BW148" s="92"/>
      <c r="BX148" s="92"/>
      <c r="BY148" s="92"/>
    </row>
    <row r="149" spans="1:77">
      <c r="A149" s="15"/>
      <c r="B149" s="88">
        <v>4900</v>
      </c>
      <c r="C149" s="89">
        <f t="shared" si="1"/>
        <v>5379.4075927863296</v>
      </c>
      <c r="D149" s="89">
        <f t="shared" si="2"/>
        <v>5788.633461047255</v>
      </c>
      <c r="E149" s="90">
        <f>(TLAR!$B$21/$AN$96)*(('Drag Polar'!$D$39*0.5*(1.225*0.3345)*Sheet1!$C$5^2)/(TLAR!$B$21*B149)+(TLAR!$B$21*B149)/('Drag Polar'!$D$26*PI()*'Drag Polar'!$D$6*0.5*(1.225*0.3345)*Sheet1!$C$5^2))</f>
        <v>0.32885244321255391</v>
      </c>
      <c r="F149" s="90">
        <f>((TLAR!$B$21/AL149))*(SQRT(($D$47^2*(1.225*0.3345)*SQRT(Sheet1!$C$9))/((TLAR!$B$21*B149*2)))+2*SQRT(Sheet1!$C$10))</f>
        <v>0.28167492755488599</v>
      </c>
      <c r="G149" s="97">
        <f>((TLAR!$B$40)/(TLAR!$B$40-0))*(TLAR!$F$6/AR149)*((TLAR!$F$11*0.01)+2*SQRT(($D$64)/(PI()*'Drag Polar'!$D$6*$D$65)))</f>
        <v>0.18392375695579527</v>
      </c>
      <c r="H149" s="97">
        <f>((TLAR!$B$40)/(TLAR!$B$40-1))*(TLAR!$F$14/AX149)*((TLAR!$F$19*0.01)+2*SQRT(($E$64)/(PI()*'Drag Polar'!$D$6*$E$65)))</f>
        <v>0.26019544651560184</v>
      </c>
      <c r="I149" s="97">
        <f>((TLAR!$B$40)/(TLAR!$B$40-1))*(TLAR!$F$21/BD149)*((TLAR!$F$26*0.01)+2*SQRT(($F$64)/(PI()*'Drag Polar'!$D$6*$F$65)))</f>
        <v>0.27839311711167369</v>
      </c>
      <c r="J149" s="97">
        <f>((TLAR!$B$40)/(TLAR!$B$40-1))*(TLAR!$F$28/BJ149)*((TLAR!$F$33*0.01)+2*SQRT(($G$64)/(PI()*'Drag Polar'!$D$6*$G$65)))</f>
        <v>0.18547673486329366</v>
      </c>
      <c r="K149" s="97">
        <f>((TLAR!$B$40)/(TLAR!$B$40-1))*(TLAR!$F$35/BP149)*((TLAR!$F$40*0.01)+2*SQRT(($H$64)/(PI()*'Drag Polar'!$D$6*$H$65)))</f>
        <v>0.23086886900213341</v>
      </c>
      <c r="L149" s="15">
        <f>1.15*SQRT(((TLAR!$B$40)/(TLAR!$B$40-1))*((B149)/($D$73*0.85*1.225*9.81*PI()*'Drag Polar'!$E$42*'Drag Polar'!$D$6)))+((TLAR!$B$40)/(TLAR!$B$40-1))*((4*11)/($D$73))</f>
        <v>0.17048068717194137</v>
      </c>
      <c r="M149" s="15"/>
      <c r="N149" s="15"/>
      <c r="O149" s="15"/>
      <c r="P149" s="15"/>
      <c r="Q149" s="15"/>
      <c r="R149" s="15"/>
      <c r="S149" s="15"/>
      <c r="T149" s="15"/>
      <c r="U149" s="15"/>
      <c r="V149" s="15"/>
      <c r="W149" s="15"/>
      <c r="X149" s="15"/>
      <c r="Y149" s="15"/>
      <c r="Z149" s="15"/>
      <c r="AA149" s="15"/>
      <c r="AB149" s="15"/>
      <c r="AC149" s="15"/>
      <c r="AD149" s="15"/>
      <c r="AI149" s="95">
        <f t="shared" si="22"/>
        <v>157.1686234361303</v>
      </c>
      <c r="AJ149" s="96">
        <f t="shared" si="3"/>
        <v>0.50601795311534958</v>
      </c>
      <c r="AK149" s="92">
        <f t="shared" si="4"/>
        <v>46806.584181505335</v>
      </c>
      <c r="AL149" s="96">
        <f>((AK149)/(101325))*(1-(0.43+0.014*'Drag Polar'!$D$31)*SQRT(AJ149))</f>
        <v>0.29764289814021178</v>
      </c>
      <c r="AN149" s="92"/>
      <c r="AO149" s="95">
        <f t="shared" si="5"/>
        <v>59.329587896765304</v>
      </c>
      <c r="AP149" s="96">
        <f t="shared" si="6"/>
        <v>0.17434638667447477</v>
      </c>
      <c r="AQ149" s="92">
        <f t="shared" si="7"/>
        <v>103497.39261262653</v>
      </c>
      <c r="AR149" s="96">
        <f>((AQ149)/(101325))*(1-(0.43+0.014*'Drag Polar'!$D$31)*SQRT(AP149))</f>
        <v>0.80818973203181244</v>
      </c>
      <c r="AS149" s="92"/>
      <c r="AT149" s="92"/>
      <c r="AU149" s="95">
        <f t="shared" si="8"/>
        <v>66.332495807107989</v>
      </c>
      <c r="AV149" s="96">
        <f t="shared" si="9"/>
        <v>0.19492518611779452</v>
      </c>
      <c r="AW149" s="92">
        <f t="shared" si="10"/>
        <v>104045.6456678532</v>
      </c>
      <c r="AX149" s="96">
        <f>((AW149)/(101325))*(1-(0.43+0.014*'Drag Polar'!$D$31)*SQRT(AV149))</f>
        <v>0.80017168914904724</v>
      </c>
      <c r="AY149" s="92"/>
      <c r="AZ149" s="92"/>
      <c r="BA149" s="95">
        <f t="shared" si="11"/>
        <v>66.332495807107989</v>
      </c>
      <c r="BB149" s="96">
        <f t="shared" si="12"/>
        <v>0.19492518611779452</v>
      </c>
      <c r="BC149" s="92">
        <f t="shared" si="13"/>
        <v>104045.6456678532</v>
      </c>
      <c r="BD149" s="96">
        <f>((BC149)/(101325))*(1-(0.43+0.014*'Drag Polar'!$D$31)*SQRT(BB149))</f>
        <v>0.80017168914904724</v>
      </c>
      <c r="BE149" s="92"/>
      <c r="BF149" s="92"/>
      <c r="BG149" s="95">
        <f t="shared" si="14"/>
        <v>66.332495807107989</v>
      </c>
      <c r="BH149" s="96">
        <f t="shared" si="15"/>
        <v>0.19492518611779452</v>
      </c>
      <c r="BI149" s="92">
        <f t="shared" si="16"/>
        <v>104045.6456678532</v>
      </c>
      <c r="BJ149" s="96">
        <f>((BI149)/(101325))*(1-(0.43+0.014*'Drag Polar'!$D$31)*SQRT(BH149))</f>
        <v>0.80017168914904724</v>
      </c>
      <c r="BK149" s="92"/>
      <c r="BL149" s="92"/>
      <c r="BM149" s="95">
        <f t="shared" si="17"/>
        <v>59.329587896765304</v>
      </c>
      <c r="BN149" s="96">
        <f t="shared" si="18"/>
        <v>0.17434638667447477</v>
      </c>
      <c r="BO149" s="92">
        <f t="shared" si="19"/>
        <v>103497.39261262653</v>
      </c>
      <c r="BP149" s="96">
        <f>((BO149)/(101325))*(1-(0.43+0.014*'Drag Polar'!$D$31)*SQRT(BN149))</f>
        <v>0.80818973203181244</v>
      </c>
      <c r="BQ149" s="92"/>
      <c r="BR149" s="92"/>
      <c r="BS149" s="95">
        <f t="shared" si="0"/>
        <v>157.1686234361303</v>
      </c>
      <c r="BT149" s="96">
        <f t="shared" si="20"/>
        <v>0.50601795311534958</v>
      </c>
      <c r="BU149" s="92">
        <f t="shared" si="21"/>
        <v>46806.584181505335</v>
      </c>
      <c r="BV149" s="96">
        <f>((BU149)/(101325))*(1-(0.43+0.014*'Drag Polar'!$D$31)*SQRT(BT149))</f>
        <v>0.29764289814021178</v>
      </c>
      <c r="BW149" s="92"/>
      <c r="BX149" s="92"/>
      <c r="BY149" s="92"/>
    </row>
    <row r="150" spans="1:77">
      <c r="A150" s="15"/>
      <c r="B150" s="88">
        <v>5000</v>
      </c>
      <c r="C150" s="89">
        <f t="shared" si="1"/>
        <v>5379.4075927863296</v>
      </c>
      <c r="D150" s="89">
        <f t="shared" si="2"/>
        <v>5788.633461047255</v>
      </c>
      <c r="E150" s="90">
        <f>(TLAR!$B$21/$AN$96)*(('Drag Polar'!$D$39*0.5*(1.225*0.3345)*Sheet1!$C$5^2)/(TLAR!$B$21*B150)+(TLAR!$B$21*B150)/('Drag Polar'!$D$26*PI()*'Drag Polar'!$D$6*0.5*(1.225*0.3345)*Sheet1!$C$5^2))</f>
        <v>0.32527908929956512</v>
      </c>
      <c r="F150" s="90">
        <f>((TLAR!$B$21/AL150))*(SQRT(($D$47^2*(1.225*0.3345)*SQRT(Sheet1!$C$9))/((TLAR!$B$21*B150*2)))+2*SQRT(Sheet1!$C$10))</f>
        <v>0.28064883252723499</v>
      </c>
      <c r="G150" s="97">
        <f>((TLAR!$B$40)/(TLAR!$B$40-0))*(TLAR!$F$6/AR150)*((TLAR!$F$11*0.01)+2*SQRT(($D$64)/(PI()*'Drag Polar'!$D$6*$D$65)))</f>
        <v>0.18409034880994218</v>
      </c>
      <c r="H150" s="97">
        <f>((TLAR!$B$40)/(TLAR!$B$40-1))*(TLAR!$F$14/AX150)*((TLAR!$F$19*0.01)+2*SQRT(($E$64)/(PI()*'Drag Polar'!$D$6*$E$65)))</f>
        <v>0.2604288899167107</v>
      </c>
      <c r="I150" s="97">
        <f>((TLAR!$B$40)/(TLAR!$B$40-1))*(TLAR!$F$21/BD150)*((TLAR!$F$26*0.01)+2*SQRT(($F$64)/(PI()*'Drag Polar'!$D$6*$F$65)))</f>
        <v>0.27864288718633928</v>
      </c>
      <c r="J150" s="97">
        <f>((TLAR!$B$40)/(TLAR!$B$40-1))*(TLAR!$F$28/BJ150)*((TLAR!$F$33*0.01)+2*SQRT(($G$64)/(PI()*'Drag Polar'!$D$6*$G$65)))</f>
        <v>0.18564314177161156</v>
      </c>
      <c r="K150" s="97">
        <f>((TLAR!$B$40)/(TLAR!$B$40-1))*(TLAR!$F$35/BP150)*((TLAR!$F$40*0.01)+2*SQRT(($H$64)/(PI()*'Drag Polar'!$D$6*$H$65)))</f>
        <v>0.23107798213459904</v>
      </c>
      <c r="L150" s="15">
        <f>1.15*SQRT(((TLAR!$B$40)/(TLAR!$B$40-1))*((B150)/($D$73*0.85*1.225*9.81*PI()*'Drag Polar'!$E$42*'Drag Polar'!$D$6)))+((TLAR!$B$40)/(TLAR!$B$40-1))*((4*11)/($D$73))</f>
        <v>0.17187813280919581</v>
      </c>
      <c r="M150" s="15"/>
      <c r="N150" s="15"/>
      <c r="O150" s="15"/>
      <c r="P150" s="15"/>
      <c r="Q150" s="15"/>
      <c r="R150" s="15"/>
      <c r="S150" s="15"/>
      <c r="T150" s="15"/>
      <c r="U150" s="15"/>
      <c r="V150" s="15"/>
      <c r="W150" s="15"/>
      <c r="X150" s="15"/>
      <c r="Y150" s="15"/>
      <c r="Z150" s="15"/>
      <c r="AA150" s="15"/>
      <c r="AB150" s="15"/>
      <c r="AC150" s="15"/>
      <c r="AD150" s="15"/>
      <c r="AI150" s="95">
        <f t="shared" si="22"/>
        <v>158.76428488777523</v>
      </c>
      <c r="AJ150" s="96">
        <f t="shared" si="3"/>
        <v>0.51115532292857158</v>
      </c>
      <c r="AK150" s="92">
        <f t="shared" si="4"/>
        <v>46969.660382906797</v>
      </c>
      <c r="AL150" s="96">
        <f>((AK150)/(101325))*(1-(0.43+0.014*'Drag Polar'!$D$31)*SQRT(AJ150))</f>
        <v>0.29784506428463547</v>
      </c>
      <c r="AN150" s="92"/>
      <c r="AO150" s="95">
        <f t="shared" si="5"/>
        <v>59.931934181151519</v>
      </c>
      <c r="AP150" s="96">
        <f t="shared" si="6"/>
        <v>0.17611644613270433</v>
      </c>
      <c r="AQ150" s="92">
        <f t="shared" si="7"/>
        <v>103542.07043405228</v>
      </c>
      <c r="AR150" s="96">
        <f>((AQ150)/(101325))*(1-(0.43+0.014*'Drag Polar'!$D$31)*SQRT(AP150))</f>
        <v>0.80745836383770531</v>
      </c>
      <c r="AS150" s="92"/>
      <c r="AT150" s="92"/>
      <c r="AU150" s="95">
        <f t="shared" si="8"/>
        <v>67.005939426048997</v>
      </c>
      <c r="AV150" s="96">
        <f t="shared" si="9"/>
        <v>0.19690417275420344</v>
      </c>
      <c r="AW150" s="92">
        <f t="shared" si="10"/>
        <v>104101.70624179082</v>
      </c>
      <c r="AX150" s="96">
        <f>((AW150)/(101325))*(1-(0.43+0.014*'Drag Polar'!$D$31)*SQRT(AV150))</f>
        <v>0.79945443078095402</v>
      </c>
      <c r="AY150" s="92"/>
      <c r="AZ150" s="92"/>
      <c r="BA150" s="95">
        <f t="shared" si="11"/>
        <v>67.005939426048997</v>
      </c>
      <c r="BB150" s="96">
        <f t="shared" si="12"/>
        <v>0.19690417275420344</v>
      </c>
      <c r="BC150" s="92">
        <f t="shared" si="13"/>
        <v>104101.70624179082</v>
      </c>
      <c r="BD150" s="96">
        <f>((BC150)/(101325))*(1-(0.43+0.014*'Drag Polar'!$D$31)*SQRT(BB150))</f>
        <v>0.79945443078095402</v>
      </c>
      <c r="BE150" s="92"/>
      <c r="BF150" s="92"/>
      <c r="BG150" s="95">
        <f t="shared" si="14"/>
        <v>67.005939426048997</v>
      </c>
      <c r="BH150" s="96">
        <f t="shared" si="15"/>
        <v>0.19690417275420344</v>
      </c>
      <c r="BI150" s="92">
        <f t="shared" si="16"/>
        <v>104101.70624179082</v>
      </c>
      <c r="BJ150" s="96">
        <f>((BI150)/(101325))*(1-(0.43+0.014*'Drag Polar'!$D$31)*SQRT(BH150))</f>
        <v>0.79945443078095402</v>
      </c>
      <c r="BK150" s="92"/>
      <c r="BL150" s="92"/>
      <c r="BM150" s="95">
        <f t="shared" si="17"/>
        <v>59.931934181151519</v>
      </c>
      <c r="BN150" s="96">
        <f t="shared" si="18"/>
        <v>0.17611644613270433</v>
      </c>
      <c r="BO150" s="92">
        <f t="shared" si="19"/>
        <v>103542.07043405228</v>
      </c>
      <c r="BP150" s="96">
        <f>((BO150)/(101325))*(1-(0.43+0.014*'Drag Polar'!$D$31)*SQRT(BN150))</f>
        <v>0.80745836383770531</v>
      </c>
      <c r="BQ150" s="92"/>
      <c r="BR150" s="92"/>
      <c r="BS150" s="95">
        <f t="shared" si="0"/>
        <v>158.76428488777523</v>
      </c>
      <c r="BT150" s="96">
        <f t="shared" si="20"/>
        <v>0.51115532292857158</v>
      </c>
      <c r="BU150" s="92">
        <f t="shared" si="21"/>
        <v>46969.660382906797</v>
      </c>
      <c r="BV150" s="96">
        <f>((BU150)/(101325))*(1-(0.43+0.014*'Drag Polar'!$D$31)*SQRT(BT150))</f>
        <v>0.29784506428463547</v>
      </c>
      <c r="BW150" s="92"/>
      <c r="BX150" s="92"/>
      <c r="BY150" s="92"/>
    </row>
    <row r="151" spans="1:77">
      <c r="A151" s="15"/>
      <c r="B151" s="88">
        <v>5100</v>
      </c>
      <c r="C151" s="89">
        <f t="shared" si="1"/>
        <v>5379.4075927863296</v>
      </c>
      <c r="D151" s="89">
        <f t="shared" si="2"/>
        <v>5788.633461047255</v>
      </c>
      <c r="E151" s="90">
        <f>(TLAR!$B$21/$AN$96)*(('Drag Polar'!$D$39*0.5*(1.225*0.3345)*Sheet1!$C$5^2)/(TLAR!$B$21*B151)+(TLAR!$B$21*B151)/('Drag Polar'!$D$26*PI()*'Drag Polar'!$D$6*0.5*(1.225*0.3345)*Sheet1!$C$5^2))</f>
        <v>0.32190535780089563</v>
      </c>
      <c r="F151" s="90">
        <f>((TLAR!$B$21/AL151))*(SQRT(($D$47^2*(1.225*0.3345)*SQRT(Sheet1!$C$9))/((TLAR!$B$21*B151*2)))+2*SQRT(Sheet1!$C$10))</f>
        <v>0.27964012125803567</v>
      </c>
      <c r="G151" s="97">
        <f>((TLAR!$B$40)/(TLAR!$B$40-0))*(TLAR!$F$6/AR151)*((TLAR!$F$11*0.01)+2*SQRT(($D$64)/(PI()*'Drag Polar'!$D$6*$D$65)))</f>
        <v>0.18425375596659596</v>
      </c>
      <c r="H151" s="97">
        <f>((TLAR!$B$40)/(TLAR!$B$40-1))*(TLAR!$F$14/AX151)*((TLAR!$F$19*0.01)+2*SQRT(($E$64)/(PI()*'Drag Polar'!$D$6*$E$65)))</f>
        <v>0.26065751919759278</v>
      </c>
      <c r="I151" s="97">
        <f>((TLAR!$B$40)/(TLAR!$B$40-1))*(TLAR!$F$21/BD151)*((TLAR!$F$26*0.01)+2*SQRT(($F$64)/(PI()*'Drag Polar'!$D$6*$F$65)))</f>
        <v>0.27888750644859045</v>
      </c>
      <c r="J151" s="97">
        <f>((TLAR!$B$40)/(TLAR!$B$40-1))*(TLAR!$F$28/BJ151)*((TLAR!$F$33*0.01)+2*SQRT(($G$64)/(PI()*'Drag Polar'!$D$6*$G$65)))</f>
        <v>0.18580611700073266</v>
      </c>
      <c r="K151" s="97">
        <f>((TLAR!$B$40)/(TLAR!$B$40-1))*(TLAR!$F$35/BP151)*((TLAR!$F$40*0.01)+2*SQRT(($H$64)/(PI()*'Drag Polar'!$D$6*$H$65)))</f>
        <v>0.23128309770024388</v>
      </c>
      <c r="L151" s="15">
        <f>1.15*SQRT(((TLAR!$B$40)/(TLAR!$B$40-1))*((B151)/($D$73*0.85*1.225*9.81*PI()*'Drag Polar'!$E$42*'Drag Polar'!$D$6)))+((TLAR!$B$40)/(TLAR!$B$40-1))*((4*11)/($D$73))</f>
        <v>0.17326167247686489</v>
      </c>
      <c r="M151" s="15"/>
      <c r="N151" s="15"/>
      <c r="O151" s="15"/>
      <c r="P151" s="15"/>
      <c r="Q151" s="15"/>
      <c r="R151" s="15"/>
      <c r="S151" s="15"/>
      <c r="T151" s="15"/>
      <c r="U151" s="15"/>
      <c r="V151" s="15"/>
      <c r="W151" s="15"/>
      <c r="X151" s="15"/>
      <c r="Y151" s="15"/>
      <c r="Z151" s="15"/>
      <c r="AA151" s="15"/>
      <c r="AB151" s="15"/>
      <c r="AC151" s="15"/>
      <c r="AD151" s="15"/>
      <c r="AI151" s="95">
        <f t="shared" si="22"/>
        <v>160.34406792596099</v>
      </c>
      <c r="AJ151" s="96">
        <f t="shared" si="3"/>
        <v>0.51624157081871713</v>
      </c>
      <c r="AK151" s="92">
        <f t="shared" si="4"/>
        <v>47133.142012785873</v>
      </c>
      <c r="AL151" s="96">
        <f>((AK151)/(101325))*(1-(0.43+0.014*'Drag Polar'!$D$31)*SQRT(AJ151))</f>
        <v>0.29805647059621043</v>
      </c>
      <c r="AN151" s="92"/>
      <c r="AO151" s="95">
        <f t="shared" si="5"/>
        <v>60.528286522813076</v>
      </c>
      <c r="AP151" s="96">
        <f t="shared" si="6"/>
        <v>0.17786889174440262</v>
      </c>
      <c r="AQ151" s="92">
        <f t="shared" si="7"/>
        <v>103586.76202988708</v>
      </c>
      <c r="AR151" s="96">
        <f>((AQ151)/(101325))*(1-(0.43+0.014*'Drag Polar'!$D$31)*SQRT(AP151))</f>
        <v>0.80674226188006071</v>
      </c>
      <c r="AS151" s="92"/>
      <c r="AT151" s="92"/>
      <c r="AU151" s="95">
        <f t="shared" si="8"/>
        <v>67.6726816132972</v>
      </c>
      <c r="AV151" s="96">
        <f t="shared" si="9"/>
        <v>0.19886346651151771</v>
      </c>
      <c r="AW151" s="92">
        <f t="shared" si="10"/>
        <v>104157.78838802026</v>
      </c>
      <c r="AX151" s="96">
        <f>((AW151)/(101325))*(1-(0.43+0.014*'Drag Polar'!$D$31)*SQRT(AV151))</f>
        <v>0.79875320914664205</v>
      </c>
      <c r="AY151" s="92"/>
      <c r="AZ151" s="92"/>
      <c r="BA151" s="95">
        <f t="shared" si="11"/>
        <v>67.6726816132972</v>
      </c>
      <c r="BB151" s="96">
        <f t="shared" si="12"/>
        <v>0.19886346651151771</v>
      </c>
      <c r="BC151" s="92">
        <f t="shared" si="13"/>
        <v>104157.78838802026</v>
      </c>
      <c r="BD151" s="96">
        <f>((BC151)/(101325))*(1-(0.43+0.014*'Drag Polar'!$D$31)*SQRT(BB151))</f>
        <v>0.79875320914664205</v>
      </c>
      <c r="BE151" s="92"/>
      <c r="BF151" s="92"/>
      <c r="BG151" s="95">
        <f t="shared" si="14"/>
        <v>67.6726816132972</v>
      </c>
      <c r="BH151" s="96">
        <f t="shared" si="15"/>
        <v>0.19886346651151771</v>
      </c>
      <c r="BI151" s="92">
        <f t="shared" si="16"/>
        <v>104157.78838802026</v>
      </c>
      <c r="BJ151" s="96">
        <f>((BI151)/(101325))*(1-(0.43+0.014*'Drag Polar'!$D$31)*SQRT(BH151))</f>
        <v>0.79875320914664205</v>
      </c>
      <c r="BK151" s="92"/>
      <c r="BL151" s="92"/>
      <c r="BM151" s="95">
        <f t="shared" si="17"/>
        <v>60.528286522813076</v>
      </c>
      <c r="BN151" s="96">
        <f t="shared" si="18"/>
        <v>0.17786889174440262</v>
      </c>
      <c r="BO151" s="92">
        <f t="shared" si="19"/>
        <v>103586.76202988708</v>
      </c>
      <c r="BP151" s="96">
        <f>((BO151)/(101325))*(1-(0.43+0.014*'Drag Polar'!$D$31)*SQRT(BN151))</f>
        <v>0.80674226188006071</v>
      </c>
      <c r="BQ151" s="92"/>
      <c r="BR151" s="92"/>
      <c r="BS151" s="95">
        <f t="shared" si="0"/>
        <v>160.34406792596099</v>
      </c>
      <c r="BT151" s="96">
        <f t="shared" si="20"/>
        <v>0.51624157081871713</v>
      </c>
      <c r="BU151" s="92">
        <f t="shared" si="21"/>
        <v>47133.142012785873</v>
      </c>
      <c r="BV151" s="96">
        <f>((BU151)/(101325))*(1-(0.43+0.014*'Drag Polar'!$D$31)*SQRT(BT151))</f>
        <v>0.29805647059621043</v>
      </c>
      <c r="BW151" s="92"/>
      <c r="BX151" s="92"/>
      <c r="BY151" s="92"/>
    </row>
    <row r="152" spans="1:77">
      <c r="A152" s="15"/>
      <c r="B152" s="88">
        <v>5200</v>
      </c>
      <c r="C152" s="89">
        <f t="shared" si="1"/>
        <v>5379.4075927863296</v>
      </c>
      <c r="D152" s="89">
        <f t="shared" si="2"/>
        <v>5788.633461047255</v>
      </c>
      <c r="E152" s="90">
        <f>(TLAR!$B$21/$AN$96)*(('Drag Polar'!$D$39*0.5*(1.225*0.3345)*Sheet1!$C$5^2)/(TLAR!$B$21*B152)+(TLAR!$B$21*B152)/('Drag Polar'!$D$26*PI()*'Drag Polar'!$D$6*0.5*(1.225*0.3345)*Sheet1!$C$5^2))</f>
        <v>0.31871973203879617</v>
      </c>
      <c r="F152" s="90">
        <f>((TLAR!$B$21/AL152))*(SQRT(($D$47^2*(1.225*0.3345)*SQRT(Sheet1!$C$9))/((TLAR!$B$21*B152*2)))+2*SQRT(Sheet1!$C$10))</f>
        <v>0.27864795345020021</v>
      </c>
      <c r="G152" s="97">
        <f>((TLAR!$B$40)/(TLAR!$B$40-0))*(TLAR!$F$6/AR152)*((TLAR!$F$11*0.01)+2*SQRT(($D$64)/(PI()*'Drag Polar'!$D$6*$D$65)))</f>
        <v>0.18441408145262736</v>
      </c>
      <c r="H152" s="97">
        <f>((TLAR!$B$40)/(TLAR!$B$40-1))*(TLAR!$F$14/AX152)*((TLAR!$F$19*0.01)+2*SQRT(($E$64)/(PI()*'Drag Polar'!$D$6*$E$65)))</f>
        <v>0.26088148969262265</v>
      </c>
      <c r="I152" s="97">
        <f>((TLAR!$B$40)/(TLAR!$B$40-1))*(TLAR!$F$21/BD152)*((TLAR!$F$26*0.01)+2*SQRT(($F$64)/(PI()*'Drag Polar'!$D$6*$F$65)))</f>
        <v>0.27912714109664977</v>
      </c>
      <c r="J152" s="97">
        <f>((TLAR!$B$40)/(TLAR!$B$40-1))*(TLAR!$F$28/BJ152)*((TLAR!$F$33*0.01)+2*SQRT(($G$64)/(PI()*'Drag Polar'!$D$6*$G$65)))</f>
        <v>0.18596577127862318</v>
      </c>
      <c r="K152" s="97">
        <f>((TLAR!$B$40)/(TLAR!$B$40-1))*(TLAR!$F$35/BP152)*((TLAR!$F$40*0.01)+2*SQRT(($H$64)/(PI()*'Drag Polar'!$D$6*$H$65)))</f>
        <v>0.23148434502274814</v>
      </c>
      <c r="L152" s="15">
        <f>1.15*SQRT(((TLAR!$B$40)/(TLAR!$B$40-1))*((B152)/($D$73*0.85*1.225*9.81*PI()*'Drag Polar'!$E$42*'Drag Polar'!$D$6)))+((TLAR!$B$40)/(TLAR!$B$40-1))*((4*11)/($D$73))</f>
        <v>0.17463171322809745</v>
      </c>
      <c r="M152" s="15"/>
      <c r="N152" s="15"/>
      <c r="O152" s="15"/>
      <c r="P152" s="15"/>
      <c r="Q152" s="15"/>
      <c r="R152" s="15"/>
      <c r="S152" s="15"/>
      <c r="T152" s="15"/>
      <c r="U152" s="15"/>
      <c r="V152" s="15"/>
      <c r="W152" s="15"/>
      <c r="X152" s="15"/>
      <c r="Y152" s="15"/>
      <c r="Z152" s="15"/>
      <c r="AA152" s="15"/>
      <c r="AB152" s="15"/>
      <c r="AC152" s="15"/>
      <c r="AD152" s="15"/>
      <c r="AI152" s="95">
        <f t="shared" si="22"/>
        <v>161.908437340874</v>
      </c>
      <c r="AJ152" s="96">
        <f t="shared" si="3"/>
        <v>0.52127819321792157</v>
      </c>
      <c r="AK152" s="92">
        <f t="shared" si="4"/>
        <v>47297.029675310412</v>
      </c>
      <c r="AL152" s="96">
        <f>((AK152)/(101325))*(1-(0.43+0.014*'Drag Polar'!$D$31)*SQRT(AJ152))</f>
        <v>0.2982768029703266</v>
      </c>
      <c r="AN152" s="92"/>
      <c r="AO152" s="95">
        <f t="shared" si="5"/>
        <v>61.118820375410003</v>
      </c>
      <c r="AP152" s="96">
        <f t="shared" si="6"/>
        <v>0.1796042390990544</v>
      </c>
      <c r="AQ152" s="92">
        <f t="shared" si="7"/>
        <v>103631.46740267845</v>
      </c>
      <c r="AR152" s="96">
        <f>((AQ152)/(101325))*(1-(0.43+0.014*'Drag Polar'!$D$31)*SQRT(AP152))</f>
        <v>0.80604089816521229</v>
      </c>
      <c r="AS152" s="92"/>
      <c r="AT152" s="92"/>
      <c r="AU152" s="95">
        <f t="shared" si="8"/>
        <v>68.33291853200798</v>
      </c>
      <c r="AV152" s="96">
        <f t="shared" si="9"/>
        <v>0.20080364383630558</v>
      </c>
      <c r="AW152" s="92">
        <f t="shared" si="10"/>
        <v>104213.89211152136</v>
      </c>
      <c r="AX152" s="96">
        <f>((AW152)/(101325))*(1-(0.43+0.014*'Drag Polar'!$D$31)*SQRT(AV152))</f>
        <v>0.79806746807750739</v>
      </c>
      <c r="AY152" s="92"/>
      <c r="AZ152" s="92"/>
      <c r="BA152" s="95">
        <f t="shared" si="11"/>
        <v>68.33291853200798</v>
      </c>
      <c r="BB152" s="96">
        <f t="shared" si="12"/>
        <v>0.20080364383630558</v>
      </c>
      <c r="BC152" s="92">
        <f t="shared" si="13"/>
        <v>104213.89211152136</v>
      </c>
      <c r="BD152" s="96">
        <f>((BC152)/(101325))*(1-(0.43+0.014*'Drag Polar'!$D$31)*SQRT(BB152))</f>
        <v>0.79806746807750739</v>
      </c>
      <c r="BE152" s="92"/>
      <c r="BF152" s="92"/>
      <c r="BG152" s="95">
        <f t="shared" si="14"/>
        <v>68.33291853200798</v>
      </c>
      <c r="BH152" s="96">
        <f t="shared" si="15"/>
        <v>0.20080364383630558</v>
      </c>
      <c r="BI152" s="92">
        <f t="shared" si="16"/>
        <v>104213.89211152136</v>
      </c>
      <c r="BJ152" s="96">
        <f>((BI152)/(101325))*(1-(0.43+0.014*'Drag Polar'!$D$31)*SQRT(BH152))</f>
        <v>0.79806746807750739</v>
      </c>
      <c r="BK152" s="92"/>
      <c r="BL152" s="92"/>
      <c r="BM152" s="95">
        <f t="shared" si="17"/>
        <v>61.118820375410003</v>
      </c>
      <c r="BN152" s="96">
        <f t="shared" si="18"/>
        <v>0.1796042390990544</v>
      </c>
      <c r="BO152" s="92">
        <f t="shared" si="19"/>
        <v>103631.46740267845</v>
      </c>
      <c r="BP152" s="96">
        <f>((BO152)/(101325))*(1-(0.43+0.014*'Drag Polar'!$D$31)*SQRT(BN152))</f>
        <v>0.80604089816521229</v>
      </c>
      <c r="BQ152" s="92"/>
      <c r="BR152" s="92"/>
      <c r="BS152" s="95">
        <f t="shared" si="0"/>
        <v>161.908437340874</v>
      </c>
      <c r="BT152" s="96">
        <f t="shared" si="20"/>
        <v>0.52127819321792157</v>
      </c>
      <c r="BU152" s="92">
        <f t="shared" si="21"/>
        <v>47297.029675310412</v>
      </c>
      <c r="BV152" s="96">
        <f>((BU152)/(101325))*(1-(0.43+0.014*'Drag Polar'!$D$31)*SQRT(BT152))</f>
        <v>0.2982768029703266</v>
      </c>
      <c r="BW152" s="92"/>
      <c r="BX152" s="92"/>
      <c r="BY152" s="92"/>
    </row>
    <row r="153" spans="1:77">
      <c r="A153" s="15"/>
      <c r="B153" s="88">
        <v>5300</v>
      </c>
      <c r="C153" s="89">
        <f t="shared" si="1"/>
        <v>5379.4075927863296</v>
      </c>
      <c r="D153" s="89">
        <f t="shared" si="2"/>
        <v>5788.633461047255</v>
      </c>
      <c r="E153" s="90">
        <f>(TLAR!$B$21/$AN$96)*(('Drag Polar'!$D$39*0.5*(1.225*0.3345)*Sheet1!$C$5^2)/(TLAR!$B$21*B153)+(TLAR!$B$21*B153)/('Drag Polar'!$D$26*PI()*'Drag Polar'!$D$6*0.5*(1.225*0.3345)*Sheet1!$C$5^2))</f>
        <v>0.31571156451874394</v>
      </c>
      <c r="F153" s="90">
        <f>((TLAR!$B$21/AL153))*(SQRT(($D$47^2*(1.225*0.3345)*SQRT(Sheet1!$C$9))/((TLAR!$B$21*B153*2)))+2*SQRT(Sheet1!$C$10))</f>
        <v>0.27767154703997304</v>
      </c>
      <c r="G153" s="97">
        <f>((TLAR!$B$40)/(TLAR!$B$40-0))*(TLAR!$F$6/AR153)*((TLAR!$F$11*0.01)+2*SQRT(($D$64)/(PI()*'Drag Polar'!$D$6*$D$65)))</f>
        <v>0.18457142303149393</v>
      </c>
      <c r="H153" s="97">
        <f>((TLAR!$B$40)/(TLAR!$B$40-1))*(TLAR!$F$14/AX153)*((TLAR!$F$19*0.01)+2*SQRT(($E$64)/(PI()*'Drag Polar'!$D$6*$E$65)))</f>
        <v>0.26110094882267387</v>
      </c>
      <c r="I153" s="97">
        <f>((TLAR!$B$40)/(TLAR!$B$40-1))*(TLAR!$F$21/BD153)*((TLAR!$F$26*0.01)+2*SQRT(($F$64)/(PI()*'Drag Polar'!$D$6*$F$65)))</f>
        <v>0.27936194886178073</v>
      </c>
      <c r="J153" s="97">
        <f>((TLAR!$B$40)/(TLAR!$B$40-1))*(TLAR!$F$28/BJ153)*((TLAR!$F$33*0.01)+2*SQRT(($G$64)/(PI()*'Drag Polar'!$D$6*$G$65)))</f>
        <v>0.18612220969221932</v>
      </c>
      <c r="K153" s="97">
        <f>((TLAR!$B$40)/(TLAR!$B$40-1))*(TLAR!$F$35/BP153)*((TLAR!$F$40*0.01)+2*SQRT(($H$64)/(PI()*'Drag Polar'!$D$6*$H$65)))</f>
        <v>0.23168184681893361</v>
      </c>
      <c r="L153" s="15">
        <f>1.15*SQRT(((TLAR!$B$40)/(TLAR!$B$40-1))*((B153)/($D$73*0.85*1.225*9.81*PI()*'Drag Polar'!$E$42*'Drag Polar'!$D$6)))+((TLAR!$B$40)/(TLAR!$B$40-1))*((4*11)/($D$73))</f>
        <v>0.17598864263661557</v>
      </c>
      <c r="M153" s="15"/>
      <c r="N153" s="15"/>
      <c r="O153" s="15"/>
      <c r="P153" s="15"/>
      <c r="Q153" s="15"/>
      <c r="R153" s="15"/>
      <c r="S153" s="15"/>
      <c r="T153" s="15"/>
      <c r="U153" s="15"/>
      <c r="V153" s="15"/>
      <c r="W153" s="15"/>
      <c r="X153" s="15"/>
      <c r="Y153" s="15"/>
      <c r="Z153" s="15"/>
      <c r="AA153" s="15"/>
      <c r="AB153" s="15"/>
      <c r="AC153" s="15"/>
      <c r="AD153" s="15"/>
      <c r="AI153" s="95">
        <f t="shared" si="22"/>
        <v>163.45783568028256</v>
      </c>
      <c r="AJ153" s="96">
        <f t="shared" si="3"/>
        <v>0.5262666149469345</v>
      </c>
      <c r="AK153" s="92">
        <f t="shared" si="4"/>
        <v>47461.323974948187</v>
      </c>
      <c r="AL153" s="96">
        <f>((AK153)/(101325))*(1-(0.43+0.014*'Drag Polar'!$D$31)*SQRT(AJ153))</f>
        <v>0.298505764452341</v>
      </c>
      <c r="AN153" s="92"/>
      <c r="AO153" s="95">
        <f t="shared" si="5"/>
        <v>61.703702796311262</v>
      </c>
      <c r="AP153" s="96">
        <f t="shared" si="6"/>
        <v>0.18132297911273842</v>
      </c>
      <c r="AQ153" s="92">
        <f t="shared" si="7"/>
        <v>103676.18655497443</v>
      </c>
      <c r="AR153" s="96">
        <f>((AQ153)/(101325))*(1-(0.43+0.014*'Drag Polar'!$D$31)*SQRT(AP153))</f>
        <v>0.80535377257737562</v>
      </c>
      <c r="AS153" s="92"/>
      <c r="AT153" s="92"/>
      <c r="AU153" s="95">
        <f t="shared" si="8"/>
        <v>68.986836957997909</v>
      </c>
      <c r="AV153" s="96">
        <f t="shared" si="9"/>
        <v>0.20272525358942878</v>
      </c>
      <c r="AW153" s="92">
        <f t="shared" si="10"/>
        <v>104270.01741727439</v>
      </c>
      <c r="AX153" s="96">
        <f>((AW153)/(101325))*(1-(0.43+0.014*'Drag Polar'!$D$31)*SQRT(AV153))</f>
        <v>0.79739668080899606</v>
      </c>
      <c r="AY153" s="92"/>
      <c r="AZ153" s="92"/>
      <c r="BA153" s="95">
        <f t="shared" si="11"/>
        <v>68.986836957997909</v>
      </c>
      <c r="BB153" s="96">
        <f t="shared" si="12"/>
        <v>0.20272525358942878</v>
      </c>
      <c r="BC153" s="92">
        <f t="shared" si="13"/>
        <v>104270.01741727439</v>
      </c>
      <c r="BD153" s="96">
        <f>((BC153)/(101325))*(1-(0.43+0.014*'Drag Polar'!$D$31)*SQRT(BB153))</f>
        <v>0.79739668080899606</v>
      </c>
      <c r="BE153" s="92"/>
      <c r="BF153" s="92"/>
      <c r="BG153" s="95">
        <f t="shared" si="14"/>
        <v>68.986836957997909</v>
      </c>
      <c r="BH153" s="96">
        <f t="shared" si="15"/>
        <v>0.20272525358942878</v>
      </c>
      <c r="BI153" s="92">
        <f t="shared" si="16"/>
        <v>104270.01741727439</v>
      </c>
      <c r="BJ153" s="96">
        <f>((BI153)/(101325))*(1-(0.43+0.014*'Drag Polar'!$D$31)*SQRT(BH153))</f>
        <v>0.79739668080899606</v>
      </c>
      <c r="BK153" s="92"/>
      <c r="BL153" s="92"/>
      <c r="BM153" s="95">
        <f t="shared" si="17"/>
        <v>61.703702796311262</v>
      </c>
      <c r="BN153" s="96">
        <f t="shared" si="18"/>
        <v>0.18132297911273842</v>
      </c>
      <c r="BO153" s="92">
        <f t="shared" si="19"/>
        <v>103676.18655497443</v>
      </c>
      <c r="BP153" s="96">
        <f>((BO153)/(101325))*(1-(0.43+0.014*'Drag Polar'!$D$31)*SQRT(BN153))</f>
        <v>0.80535377257737562</v>
      </c>
      <c r="BQ153" s="92"/>
      <c r="BR153" s="92"/>
      <c r="BS153" s="95">
        <f t="shared" si="0"/>
        <v>163.45783568028256</v>
      </c>
      <c r="BT153" s="96">
        <f t="shared" si="20"/>
        <v>0.5262666149469345</v>
      </c>
      <c r="BU153" s="92">
        <f t="shared" si="21"/>
        <v>47461.323974948187</v>
      </c>
      <c r="BV153" s="96">
        <f>((BU153)/(101325))*(1-(0.43+0.014*'Drag Polar'!$D$31)*SQRT(BT153))</f>
        <v>0.298505764452341</v>
      </c>
      <c r="BW153" s="92"/>
      <c r="BX153" s="92"/>
      <c r="BY153" s="92"/>
    </row>
    <row r="154" spans="1:77">
      <c r="A154" s="15"/>
      <c r="B154" s="88">
        <v>5400</v>
      </c>
      <c r="C154" s="89">
        <f t="shared" si="1"/>
        <v>5379.4075927863296</v>
      </c>
      <c r="D154" s="89">
        <f t="shared" si="2"/>
        <v>5788.633461047255</v>
      </c>
      <c r="E154" s="90">
        <f>(TLAR!$B$21/$AN$96)*(('Drag Polar'!$D$39*0.5*(1.225*0.3345)*Sheet1!$C$5^2)/(TLAR!$B$21*B154)+(TLAR!$B$21*B154)/('Drag Polar'!$D$26*PI()*'Drag Polar'!$D$6*0.5*(1.225*0.3345)*Sheet1!$C$5^2))</f>
        <v>0.31287099644951416</v>
      </c>
      <c r="F154" s="90">
        <f>((TLAR!$B$21/AL154))*(SQRT(($D$47^2*(1.225*0.3345)*SQRT(Sheet1!$C$9))/((TLAR!$B$21*B154*2)))+2*SQRT(Sheet1!$C$10))</f>
        <v>0.27671017319293406</v>
      </c>
      <c r="G154" s="97">
        <f>((TLAR!$B$40)/(TLAR!$B$40-0))*(TLAR!$F$6/AR154)*((TLAR!$F$11*0.01)+2*SQRT(($D$64)/(PI()*'Drag Polar'!$D$6*$D$65)))</f>
        <v>0.18472587356692297</v>
      </c>
      <c r="H154" s="97">
        <f>((TLAR!$B$40)/(TLAR!$B$40-1))*(TLAR!$F$14/AX154)*((TLAR!$F$19*0.01)+2*SQRT(($E$64)/(PI()*'Drag Polar'!$D$6*$E$65)))</f>
        <v>0.26131603664108172</v>
      </c>
      <c r="I154" s="97">
        <f>((TLAR!$B$40)/(TLAR!$B$40-1))*(TLAR!$F$21/BD154)*((TLAR!$F$26*0.01)+2*SQRT(($F$64)/(PI()*'Drag Polar'!$D$6*$F$65)))</f>
        <v>0.27959207959243404</v>
      </c>
      <c r="J154" s="97">
        <f>((TLAR!$B$40)/(TLAR!$B$40-1))*(TLAR!$F$28/BJ154)*((TLAR!$F$33*0.01)+2*SQRT(($G$64)/(PI()*'Drag Polar'!$D$6*$G$65)))</f>
        <v>0.18627553207660918</v>
      </c>
      <c r="K154" s="97">
        <f>((TLAR!$B$40)/(TLAR!$B$40-1))*(TLAR!$F$35/BP154)*((TLAR!$F$40*0.01)+2*SQRT(($H$64)/(PI()*'Drag Polar'!$D$6*$H$65)))</f>
        <v>0.23187571965527329</v>
      </c>
      <c r="L154" s="15">
        <f>1.15*SQRT(((TLAR!$B$40)/(TLAR!$B$40-1))*((B154)/($D$73*0.85*1.225*9.81*PI()*'Drag Polar'!$E$42*'Drag Polar'!$D$6)))+((TLAR!$B$40)/(TLAR!$B$40-1))*((4*11)/($D$73))</f>
        <v>0.17733283007731543</v>
      </c>
      <c r="M154" s="15"/>
      <c r="N154" s="15"/>
      <c r="O154" s="15"/>
      <c r="P154" s="15"/>
      <c r="Q154" s="15"/>
      <c r="R154" s="15"/>
      <c r="S154" s="15"/>
      <c r="T154" s="15"/>
      <c r="U154" s="15"/>
      <c r="V154" s="15"/>
      <c r="W154" s="15"/>
      <c r="X154" s="15"/>
      <c r="Y154" s="15"/>
      <c r="Z154" s="15"/>
      <c r="AA154" s="15"/>
      <c r="AB154" s="15"/>
      <c r="AC154" s="15"/>
      <c r="AD154" s="15"/>
      <c r="AI154" s="95">
        <f t="shared" si="22"/>
        <v>164.99268471177984</v>
      </c>
      <c r="AJ154" s="96">
        <f t="shared" si="3"/>
        <v>0.53120819392293761</v>
      </c>
      <c r="AK154" s="92">
        <f t="shared" si="4"/>
        <v>47626.025516466529</v>
      </c>
      <c r="AL154" s="96">
        <f>((AK154)/(101325))*(1-(0.43+0.014*'Drag Polar'!$D$31)*SQRT(AJ154))</f>
        <v>0.29874307400785077</v>
      </c>
      <c r="AN154" s="92"/>
      <c r="AO154" s="95">
        <f t="shared" si="5"/>
        <v>62.283092998576969</v>
      </c>
      <c r="AP154" s="96">
        <f t="shared" si="6"/>
        <v>0.18302557965018673</v>
      </c>
      <c r="AQ154" s="92">
        <f t="shared" si="7"/>
        <v>103720.91948932291</v>
      </c>
      <c r="AR154" s="96">
        <f>((AQ154)/(101325))*(1-(0.43+0.014*'Drag Polar'!$D$31)*SQRT(AP154))</f>
        <v>0.80468041091459108</v>
      </c>
      <c r="AS154" s="92"/>
      <c r="AT154" s="92"/>
      <c r="AU154" s="95">
        <f t="shared" si="8"/>
        <v>69.634614896879654</v>
      </c>
      <c r="AV154" s="96">
        <f t="shared" si="9"/>
        <v>0.20462881885955983</v>
      </c>
      <c r="AW154" s="92">
        <f t="shared" si="10"/>
        <v>104326.16431026001</v>
      </c>
      <c r="AX154" s="96">
        <f>((AW154)/(101325))*(1-(0.43+0.014*'Drag Polar'!$D$31)*SQRT(AV154))</f>
        <v>0.79674034790771142</v>
      </c>
      <c r="AY154" s="92"/>
      <c r="AZ154" s="92"/>
      <c r="BA154" s="95">
        <f t="shared" si="11"/>
        <v>69.634614896879654</v>
      </c>
      <c r="BB154" s="96">
        <f t="shared" si="12"/>
        <v>0.20462881885955983</v>
      </c>
      <c r="BC154" s="92">
        <f t="shared" si="13"/>
        <v>104326.16431026001</v>
      </c>
      <c r="BD154" s="96">
        <f>((BC154)/(101325))*(1-(0.43+0.014*'Drag Polar'!$D$31)*SQRT(BB154))</f>
        <v>0.79674034790771142</v>
      </c>
      <c r="BE154" s="92"/>
      <c r="BF154" s="92"/>
      <c r="BG154" s="95">
        <f t="shared" si="14"/>
        <v>69.634614896879654</v>
      </c>
      <c r="BH154" s="96">
        <f t="shared" si="15"/>
        <v>0.20462881885955983</v>
      </c>
      <c r="BI154" s="92">
        <f t="shared" si="16"/>
        <v>104326.16431026001</v>
      </c>
      <c r="BJ154" s="96">
        <f>((BI154)/(101325))*(1-(0.43+0.014*'Drag Polar'!$D$31)*SQRT(BH154))</f>
        <v>0.79674034790771142</v>
      </c>
      <c r="BK154" s="92"/>
      <c r="BL154" s="92"/>
      <c r="BM154" s="95">
        <f t="shared" si="17"/>
        <v>62.283092998576969</v>
      </c>
      <c r="BN154" s="96">
        <f t="shared" si="18"/>
        <v>0.18302557965018673</v>
      </c>
      <c r="BO154" s="92">
        <f t="shared" si="19"/>
        <v>103720.91948932291</v>
      </c>
      <c r="BP154" s="96">
        <f>((BO154)/(101325))*(1-(0.43+0.014*'Drag Polar'!$D$31)*SQRT(BN154))</f>
        <v>0.80468041091459108</v>
      </c>
      <c r="BQ154" s="92"/>
      <c r="BR154" s="92"/>
      <c r="BS154" s="95">
        <f t="shared" si="0"/>
        <v>164.99268471177984</v>
      </c>
      <c r="BT154" s="96">
        <f t="shared" si="20"/>
        <v>0.53120819392293761</v>
      </c>
      <c r="BU154" s="92">
        <f t="shared" si="21"/>
        <v>47626.025516466529</v>
      </c>
      <c r="BV154" s="96">
        <f>((BU154)/(101325))*(1-(0.43+0.014*'Drag Polar'!$D$31)*SQRT(BT154))</f>
        <v>0.29874307400785077</v>
      </c>
      <c r="BW154" s="92"/>
      <c r="BX154" s="92"/>
      <c r="BY154" s="92"/>
    </row>
    <row r="155" spans="1:77">
      <c r="A155" s="15"/>
      <c r="B155" s="88">
        <v>5500</v>
      </c>
      <c r="C155" s="89">
        <f t="shared" si="1"/>
        <v>5379.4075927863296</v>
      </c>
      <c r="D155" s="89">
        <f t="shared" si="2"/>
        <v>5788.633461047255</v>
      </c>
      <c r="E155" s="90">
        <f>(TLAR!$B$21/$AN$96)*(('Drag Polar'!$D$39*0.5*(1.225*0.3345)*Sheet1!$C$5^2)/(TLAR!$B$21*B155)+(TLAR!$B$21*B155)/('Drag Polar'!$D$26*PI()*'Drag Polar'!$D$6*0.5*(1.225*0.3345)*Sheet1!$C$5^2))</f>
        <v>0.31018888604288014</v>
      </c>
      <c r="F155" s="90">
        <f>((TLAR!$B$21/AL155))*(SQRT(($D$47^2*(1.225*0.3345)*SQRT(Sheet1!$C$9))/((TLAR!$B$21*B155*2)))+2*SQRT(Sheet1!$C$10))</f>
        <v>0.27576315181054706</v>
      </c>
      <c r="G155" s="97">
        <f>((TLAR!$B$40)/(TLAR!$B$40-0))*(TLAR!$F$6/AR155)*((TLAR!$F$11*0.01)+2*SQRT(($D$64)/(PI()*'Drag Polar'!$D$6*$D$65)))</f>
        <v>0.18487752135518951</v>
      </c>
      <c r="H155" s="97">
        <f>((TLAR!$B$40)/(TLAR!$B$40-1))*(TLAR!$F$14/AX155)*((TLAR!$F$19*0.01)+2*SQRT(($E$64)/(PI()*'Drag Polar'!$D$6*$E$65)))</f>
        <v>0.26152688633251076</v>
      </c>
      <c r="I155" s="97">
        <f>((TLAR!$B$40)/(TLAR!$B$40-1))*(TLAR!$F$21/BD155)*((TLAR!$F$26*0.01)+2*SQRT(($F$64)/(PI()*'Drag Polar'!$D$6*$F$65)))</f>
        <v>0.27981767578800565</v>
      </c>
      <c r="J155" s="97">
        <f>((TLAR!$B$40)/(TLAR!$B$40-1))*(TLAR!$F$28/BJ155)*((TLAR!$F$33*0.01)+2*SQRT(($G$64)/(PI()*'Drag Polar'!$D$6*$G$65)))</f>
        <v>0.18642583337064372</v>
      </c>
      <c r="K155" s="97">
        <f>((TLAR!$B$40)/(TLAR!$B$40-1))*(TLAR!$F$35/BP155)*((TLAR!$F$40*0.01)+2*SQRT(($H$64)/(PI()*'Drag Polar'!$D$6*$H$65)))</f>
        <v>0.2320660743649815</v>
      </c>
      <c r="L155" s="15">
        <f>1.15*SQRT(((TLAR!$B$40)/(TLAR!$B$40-1))*((B155)/($D$73*0.85*1.225*9.81*PI()*'Drag Polar'!$E$42*'Drag Polar'!$D$6)))+((TLAR!$B$40)/(TLAR!$B$40-1))*((4*11)/($D$73))</f>
        <v>0.17866462790061716</v>
      </c>
      <c r="M155" s="15"/>
      <c r="N155" s="15"/>
      <c r="O155" s="15"/>
      <c r="P155" s="15"/>
      <c r="Q155" s="15"/>
      <c r="R155" s="15"/>
      <c r="S155" s="15"/>
      <c r="T155" s="15"/>
      <c r="U155" s="15"/>
      <c r="V155" s="15"/>
      <c r="W155" s="15"/>
      <c r="X155" s="15"/>
      <c r="Y155" s="15"/>
      <c r="Z155" s="15"/>
      <c r="AA155" s="15"/>
      <c r="AB155" s="15"/>
      <c r="AC155" s="15"/>
      <c r="AD155" s="15"/>
      <c r="AI155" s="95">
        <f t="shared" si="22"/>
        <v>166.51338676370534</v>
      </c>
      <c r="AJ155" s="96">
        <f t="shared" si="3"/>
        <v>0.53610422547675707</v>
      </c>
      <c r="AK155" s="92">
        <f t="shared" si="4"/>
        <v>47791.134904932405</v>
      </c>
      <c r="AL155" s="96">
        <f>((AK155)/(101325))*(1-(0.43+0.014*'Drag Polar'!$D$31)*SQRT(AJ155))</f>
        <v>0.2989884654017223</v>
      </c>
      <c r="AN155" s="92"/>
      <c r="AO155" s="95">
        <f t="shared" si="5"/>
        <v>62.857142857142854</v>
      </c>
      <c r="AP155" s="96">
        <f t="shared" si="6"/>
        <v>0.18471248701226217</v>
      </c>
      <c r="AQ155" s="92">
        <f t="shared" si="7"/>
        <v>103765.66620827217</v>
      </c>
      <c r="AR155" s="96">
        <f>((AQ155)/(101325))*(1-(0.43+0.014*'Drag Polar'!$D$31)*SQRT(AP155))</f>
        <v>0.80402036309654312</v>
      </c>
      <c r="AS155" s="92"/>
      <c r="AT155" s="92"/>
      <c r="AU155" s="95">
        <f t="shared" si="8"/>
        <v>70.27642214999338</v>
      </c>
      <c r="AV155" s="96">
        <f t="shared" si="9"/>
        <v>0.2065148386262326</v>
      </c>
      <c r="AW155" s="92">
        <f t="shared" si="10"/>
        <v>104382.33279545922</v>
      </c>
      <c r="AX155" s="96">
        <f>((AW155)/(101325))*(1-(0.43+0.014*'Drag Polar'!$D$31)*SQRT(AV155))</f>
        <v>0.79609799537997994</v>
      </c>
      <c r="AY155" s="92"/>
      <c r="AZ155" s="92"/>
      <c r="BA155" s="95">
        <f t="shared" si="11"/>
        <v>70.27642214999338</v>
      </c>
      <c r="BB155" s="96">
        <f t="shared" si="12"/>
        <v>0.2065148386262326</v>
      </c>
      <c r="BC155" s="92">
        <f t="shared" si="13"/>
        <v>104382.33279545922</v>
      </c>
      <c r="BD155" s="96">
        <f>((BC155)/(101325))*(1-(0.43+0.014*'Drag Polar'!$D$31)*SQRT(BB155))</f>
        <v>0.79609799537997994</v>
      </c>
      <c r="BE155" s="92"/>
      <c r="BF155" s="92"/>
      <c r="BG155" s="95">
        <f t="shared" si="14"/>
        <v>70.27642214999338</v>
      </c>
      <c r="BH155" s="96">
        <f t="shared" si="15"/>
        <v>0.2065148386262326</v>
      </c>
      <c r="BI155" s="92">
        <f t="shared" si="16"/>
        <v>104382.33279545922</v>
      </c>
      <c r="BJ155" s="96">
        <f>((BI155)/(101325))*(1-(0.43+0.014*'Drag Polar'!$D$31)*SQRT(BH155))</f>
        <v>0.79609799537997994</v>
      </c>
      <c r="BK155" s="92"/>
      <c r="BL155" s="92"/>
      <c r="BM155" s="95">
        <f t="shared" si="17"/>
        <v>62.857142857142854</v>
      </c>
      <c r="BN155" s="96">
        <f t="shared" si="18"/>
        <v>0.18471248701226217</v>
      </c>
      <c r="BO155" s="92">
        <f t="shared" si="19"/>
        <v>103765.66620827217</v>
      </c>
      <c r="BP155" s="96">
        <f>((BO155)/(101325))*(1-(0.43+0.014*'Drag Polar'!$D$31)*SQRT(BN155))</f>
        <v>0.80402036309654312</v>
      </c>
      <c r="BQ155" s="92"/>
      <c r="BR155" s="92"/>
      <c r="BS155" s="95">
        <f t="shared" si="0"/>
        <v>166.51338676370534</v>
      </c>
      <c r="BT155" s="96">
        <f t="shared" si="20"/>
        <v>0.53610422547675707</v>
      </c>
      <c r="BU155" s="92">
        <f t="shared" si="21"/>
        <v>47791.134904932405</v>
      </c>
      <c r="BV155" s="96">
        <f>((BU155)/(101325))*(1-(0.43+0.014*'Drag Polar'!$D$31)*SQRT(BT155))</f>
        <v>0.2989884654017223</v>
      </c>
      <c r="BW155" s="92"/>
      <c r="BX155" s="92"/>
      <c r="BY155" s="92"/>
    </row>
    <row r="156" spans="1:77">
      <c r="A156" s="15"/>
      <c r="B156" s="88">
        <v>5600</v>
      </c>
      <c r="C156" s="89">
        <f t="shared" si="1"/>
        <v>5379.4075927863296</v>
      </c>
      <c r="D156" s="89">
        <f t="shared" si="2"/>
        <v>5788.633461047255</v>
      </c>
      <c r="E156" s="90">
        <f>(TLAR!$B$21/$AN$96)*(('Drag Polar'!$D$39*0.5*(1.225*0.3345)*Sheet1!$C$5^2)/(TLAR!$B$21*B156)+(TLAR!$B$21*B156)/('Drag Polar'!$D$26*PI()*'Drag Polar'!$D$6*0.5*(1.225*0.3345)*Sheet1!$C$5^2))</f>
        <v>0.30765674449548847</v>
      </c>
      <c r="F156" s="90">
        <f>((TLAR!$B$21/AL156))*(SQRT(($D$47^2*(1.225*0.3345)*SQRT(Sheet1!$C$9))/((TLAR!$B$21*B156*2)))+2*SQRT(Sheet1!$C$10))</f>
        <v>0.27482984748712797</v>
      </c>
      <c r="G156" s="97">
        <f>((TLAR!$B$40)/(TLAR!$B$40-0))*(TLAR!$F$6/AR156)*((TLAR!$F$11*0.01)+2*SQRT(($D$64)/(PI()*'Drag Polar'!$D$6*$D$65)))</f>
        <v>0.18502645042922644</v>
      </c>
      <c r="H156" s="97">
        <f>((TLAR!$B$40)/(TLAR!$B$40-1))*(TLAR!$F$14/AX156)*((TLAR!$F$19*0.01)+2*SQRT(($E$64)/(PI()*'Drag Polar'!$D$6*$E$65)))</f>
        <v>0.26173362466957167</v>
      </c>
      <c r="I156" s="97">
        <f>((TLAR!$B$40)/(TLAR!$B$40-1))*(TLAR!$F$21/BD156)*((TLAR!$F$26*0.01)+2*SQRT(($F$64)/(PI()*'Drag Polar'!$D$6*$F$65)))</f>
        <v>0.28003887308738812</v>
      </c>
      <c r="J156" s="97">
        <f>((TLAR!$B$40)/(TLAR!$B$40-1))*(TLAR!$F$28/BJ156)*((TLAR!$F$33*0.01)+2*SQRT(($G$64)/(PI()*'Drag Polar'!$D$6*$G$65)))</f>
        <v>0.18657320394242977</v>
      </c>
      <c r="K156" s="97">
        <f>((TLAR!$B$40)/(TLAR!$B$40-1))*(TLAR!$F$35/BP156)*((TLAR!$F$40*0.01)+2*SQRT(($H$64)/(PI()*'Drag Polar'!$D$6*$H$65)))</f>
        <v>0.23225301642974541</v>
      </c>
      <c r="L156" s="15">
        <f>1.15*SQRT(((TLAR!$B$40)/(TLAR!$B$40-1))*((B156)/($D$73*0.85*1.225*9.81*PI()*'Drag Polar'!$E$42*'Drag Polar'!$D$6)))+((TLAR!$B$40)/(TLAR!$B$40-1))*((4*11)/($D$73))</f>
        <v>0.17998437251114366</v>
      </c>
      <c r="M156" s="15"/>
      <c r="N156" s="15"/>
      <c r="O156" s="15"/>
      <c r="P156" s="15"/>
      <c r="Q156" s="15"/>
      <c r="R156" s="15"/>
      <c r="S156" s="15"/>
      <c r="T156" s="15"/>
      <c r="U156" s="15"/>
      <c r="V156" s="15"/>
      <c r="W156" s="15"/>
      <c r="X156" s="15"/>
      <c r="Y156" s="15"/>
      <c r="Z156" s="15"/>
      <c r="AA156" s="15"/>
      <c r="AB156" s="15"/>
      <c r="AC156" s="15"/>
      <c r="AD156" s="15"/>
      <c r="AI156" s="95">
        <f t="shared" si="22"/>
        <v>168.02032595682542</v>
      </c>
      <c r="AJ156" s="96">
        <f t="shared" si="3"/>
        <v>0.54095594631836508</v>
      </c>
      <c r="AK156" s="92">
        <f t="shared" si="4"/>
        <v>47956.65274571201</v>
      </c>
      <c r="AL156" s="96">
        <f>((AK156)/(101325))*(1-(0.43+0.014*'Drag Polar'!$D$31)*SQRT(AJ156))</f>
        <v>0.29924168617448249</v>
      </c>
      <c r="AN156" s="92"/>
      <c r="AO156" s="95">
        <f t="shared" si="5"/>
        <v>63.425997373767352</v>
      </c>
      <c r="AP156" s="96">
        <f t="shared" si="6"/>
        <v>0.18638412730225554</v>
      </c>
      <c r="AQ156" s="92">
        <f t="shared" si="7"/>
        <v>103810.42671437061</v>
      </c>
      <c r="AR156" s="96">
        <f>((AQ156)/(101325))*(1-(0.43+0.014*'Drag Polar'!$D$31)*SQRT(AP156))</f>
        <v>0.80337320152637282</v>
      </c>
      <c r="AS156" s="92"/>
      <c r="AT156" s="92"/>
      <c r="AU156" s="95">
        <f t="shared" si="8"/>
        <v>70.912420834233458</v>
      </c>
      <c r="AV156" s="96">
        <f t="shared" si="9"/>
        <v>0.20838378928740892</v>
      </c>
      <c r="AW156" s="92">
        <f t="shared" si="10"/>
        <v>104438.52287785342</v>
      </c>
      <c r="AX156" s="96">
        <f>((AW156)/(101325))*(1-(0.43+0.014*'Drag Polar'!$D$31)*SQRT(AV156))</f>
        <v>0.79546917294300734</v>
      </c>
      <c r="AY156" s="92"/>
      <c r="AZ156" s="92"/>
      <c r="BA156" s="95">
        <f t="shared" si="11"/>
        <v>70.912420834233458</v>
      </c>
      <c r="BB156" s="96">
        <f t="shared" si="12"/>
        <v>0.20838378928740892</v>
      </c>
      <c r="BC156" s="92">
        <f t="shared" si="13"/>
        <v>104438.52287785342</v>
      </c>
      <c r="BD156" s="96">
        <f>((BC156)/(101325))*(1-(0.43+0.014*'Drag Polar'!$D$31)*SQRT(BB156))</f>
        <v>0.79546917294300734</v>
      </c>
      <c r="BE156" s="92"/>
      <c r="BF156" s="92"/>
      <c r="BG156" s="95">
        <f t="shared" si="14"/>
        <v>70.912420834233458</v>
      </c>
      <c r="BH156" s="96">
        <f t="shared" si="15"/>
        <v>0.20838378928740892</v>
      </c>
      <c r="BI156" s="92">
        <f t="shared" si="16"/>
        <v>104438.52287785342</v>
      </c>
      <c r="BJ156" s="96">
        <f>((BI156)/(101325))*(1-(0.43+0.014*'Drag Polar'!$D$31)*SQRT(BH156))</f>
        <v>0.79546917294300734</v>
      </c>
      <c r="BK156" s="92"/>
      <c r="BL156" s="92"/>
      <c r="BM156" s="95">
        <f t="shared" si="17"/>
        <v>63.425997373767352</v>
      </c>
      <c r="BN156" s="96">
        <f t="shared" si="18"/>
        <v>0.18638412730225554</v>
      </c>
      <c r="BO156" s="92">
        <f t="shared" si="19"/>
        <v>103810.42671437061</v>
      </c>
      <c r="BP156" s="96">
        <f>((BO156)/(101325))*(1-(0.43+0.014*'Drag Polar'!$D$31)*SQRT(BN156))</f>
        <v>0.80337320152637282</v>
      </c>
      <c r="BQ156" s="92"/>
      <c r="BR156" s="92"/>
      <c r="BS156" s="95">
        <f t="shared" si="0"/>
        <v>168.02032595682542</v>
      </c>
      <c r="BT156" s="96">
        <f t="shared" si="20"/>
        <v>0.54095594631836508</v>
      </c>
      <c r="BU156" s="92">
        <f t="shared" si="21"/>
        <v>47956.65274571201</v>
      </c>
      <c r="BV156" s="96">
        <f>((BU156)/(101325))*(1-(0.43+0.014*'Drag Polar'!$D$31)*SQRT(BT156))</f>
        <v>0.29924168617448249</v>
      </c>
      <c r="BW156" s="92"/>
      <c r="BX156" s="92"/>
      <c r="BY156" s="92"/>
    </row>
    <row r="157" spans="1:77">
      <c r="A157" s="15"/>
      <c r="B157" s="88">
        <v>5700</v>
      </c>
      <c r="C157" s="89">
        <f t="shared" si="1"/>
        <v>5379.4075927863296</v>
      </c>
      <c r="D157" s="89">
        <f t="shared" si="2"/>
        <v>5788.633461047255</v>
      </c>
      <c r="E157" s="90">
        <f>(TLAR!$B$21/$AN$96)*(('Drag Polar'!$D$39*0.5*(1.225*0.3345)*Sheet1!$C$5^2)/(TLAR!$B$21*B157)+(TLAR!$B$21*B157)/('Drag Polar'!$D$26*PI()*'Drag Polar'!$D$6*0.5*(1.225*0.3345)*Sheet1!$C$5^2))</f>
        <v>0.30526667870948426</v>
      </c>
      <c r="F157" s="90">
        <f>((TLAR!$B$21/AL157))*(SQRT(($D$47^2*(1.225*0.3345)*SQRT(Sheet1!$C$9))/((TLAR!$B$21*B157*2)))+2*SQRT(Sheet1!$C$10))</f>
        <v>0.2739096658650948</v>
      </c>
      <c r="G157" s="97">
        <f>((TLAR!$B$40)/(TLAR!$B$40-0))*(TLAR!$F$6/AR157)*((TLAR!$F$11*0.01)+2*SQRT(($D$64)/(PI()*'Drag Polar'!$D$6*$D$65)))</f>
        <v>0.18517274083741281</v>
      </c>
      <c r="H157" s="97">
        <f>((TLAR!$B$40)/(TLAR!$B$40-1))*(TLAR!$F$14/AX157)*((TLAR!$F$19*0.01)+2*SQRT(($E$64)/(PI()*'Drag Polar'!$D$6*$E$65)))</f>
        <v>0.26193637243145557</v>
      </c>
      <c r="I157" s="97">
        <f>((TLAR!$B$40)/(TLAR!$B$40-1))*(TLAR!$F$21/BD157)*((TLAR!$F$26*0.01)+2*SQRT(($F$64)/(PI()*'Drag Polar'!$D$6*$F$65)))</f>
        <v>0.28025580071688405</v>
      </c>
      <c r="J157" s="97">
        <f>((TLAR!$B$40)/(TLAR!$B$40-1))*(TLAR!$F$28/BJ157)*((TLAR!$F$33*0.01)+2*SQRT(($G$64)/(PI()*'Drag Polar'!$D$6*$G$65)))</f>
        <v>0.1867177298877476</v>
      </c>
      <c r="K157" s="97">
        <f>((TLAR!$B$40)/(TLAR!$B$40-1))*(TLAR!$F$35/BP157)*((TLAR!$F$40*0.01)+2*SQRT(($H$64)/(PI()*'Drag Polar'!$D$6*$H$65)))</f>
        <v>0.23243664632967159</v>
      </c>
      <c r="L157" s="15">
        <f>1.15*SQRT(((TLAR!$B$40)/(TLAR!$B$40-1))*((B157)/($D$73*0.85*1.225*9.81*PI()*'Drag Polar'!$E$42*'Drag Polar'!$D$6)))+((TLAR!$B$40)/(TLAR!$B$40-1))*((4*11)/($D$73))</f>
        <v>0.18129238536008604</v>
      </c>
      <c r="M157" s="15"/>
      <c r="N157" s="15"/>
      <c r="O157" s="15"/>
      <c r="P157" s="15"/>
      <c r="Q157" s="15"/>
      <c r="R157" s="15"/>
      <c r="S157" s="15"/>
      <c r="T157" s="15"/>
      <c r="U157" s="15"/>
      <c r="V157" s="15"/>
      <c r="W157" s="15"/>
      <c r="X157" s="15"/>
      <c r="Y157" s="15"/>
      <c r="Z157" s="15"/>
      <c r="AA157" s="15"/>
      <c r="AB157" s="15"/>
      <c r="AC157" s="15"/>
      <c r="AD157" s="15"/>
      <c r="AI157" s="95">
        <f t="shared" si="22"/>
        <v>169.51386933745684</v>
      </c>
      <c r="AJ157" s="96">
        <f t="shared" si="3"/>
        <v>0.54576453818506943</v>
      </c>
      <c r="AK157" s="92">
        <f t="shared" si="4"/>
        <v>48122.579644470912</v>
      </c>
      <c r="AL157" s="96">
        <f>((AK157)/(101325))*(1-(0.43+0.014*'Drag Polar'!$D$31)*SQRT(AJ157))</f>
        <v>0.29950249670606749</v>
      </c>
      <c r="AN157" s="92"/>
      <c r="AO157" s="95">
        <f t="shared" si="5"/>
        <v>63.98979510477448</v>
      </c>
      <c r="AP157" s="96">
        <f t="shared" si="6"/>
        <v>0.18804090768285414</v>
      </c>
      <c r="AQ157" s="92">
        <f t="shared" si="7"/>
        <v>103855.20101016659</v>
      </c>
      <c r="AR157" s="96">
        <f>((AQ157)/(101325))*(1-(0.43+0.014*'Drag Polar'!$D$31)*SQRT(AP157))</f>
        <v>0.80273851959076081</v>
      </c>
      <c r="AS157" s="92"/>
      <c r="AT157" s="92"/>
      <c r="AU157" s="95">
        <f t="shared" si="8"/>
        <v>71.542765860279502</v>
      </c>
      <c r="AV157" s="96">
        <f t="shared" si="9"/>
        <v>0.21023612606481212</v>
      </c>
      <c r="AW157" s="92">
        <f t="shared" si="10"/>
        <v>104494.73456242451</v>
      </c>
      <c r="AX157" s="96">
        <f>((AW157)/(101325))*(1-(0.43+0.014*'Drag Polar'!$D$31)*SQRT(AV157))</f>
        <v>0.79485345244201433</v>
      </c>
      <c r="AY157" s="92"/>
      <c r="AZ157" s="92"/>
      <c r="BA157" s="95">
        <f t="shared" si="11"/>
        <v>71.542765860279502</v>
      </c>
      <c r="BB157" s="96">
        <f t="shared" si="12"/>
        <v>0.21023612606481212</v>
      </c>
      <c r="BC157" s="92">
        <f t="shared" si="13"/>
        <v>104494.73456242451</v>
      </c>
      <c r="BD157" s="96">
        <f>((BC157)/(101325))*(1-(0.43+0.014*'Drag Polar'!$D$31)*SQRT(BB157))</f>
        <v>0.79485345244201433</v>
      </c>
      <c r="BE157" s="92"/>
      <c r="BF157" s="92"/>
      <c r="BG157" s="95">
        <f t="shared" si="14"/>
        <v>71.542765860279502</v>
      </c>
      <c r="BH157" s="96">
        <f t="shared" si="15"/>
        <v>0.21023612606481212</v>
      </c>
      <c r="BI157" s="92">
        <f t="shared" si="16"/>
        <v>104494.73456242451</v>
      </c>
      <c r="BJ157" s="96">
        <f>((BI157)/(101325))*(1-(0.43+0.014*'Drag Polar'!$D$31)*SQRT(BH157))</f>
        <v>0.79485345244201433</v>
      </c>
      <c r="BK157" s="92"/>
      <c r="BL157" s="92"/>
      <c r="BM157" s="95">
        <f t="shared" si="17"/>
        <v>63.98979510477448</v>
      </c>
      <c r="BN157" s="96">
        <f t="shared" si="18"/>
        <v>0.18804090768285414</v>
      </c>
      <c r="BO157" s="92">
        <f t="shared" si="19"/>
        <v>103855.20101016659</v>
      </c>
      <c r="BP157" s="96">
        <f>((BO157)/(101325))*(1-(0.43+0.014*'Drag Polar'!$D$31)*SQRT(BN157))</f>
        <v>0.80273851959076081</v>
      </c>
      <c r="BQ157" s="92"/>
      <c r="BR157" s="92"/>
      <c r="BS157" s="95">
        <f t="shared" si="0"/>
        <v>169.51386933745684</v>
      </c>
      <c r="BT157" s="96">
        <f t="shared" si="20"/>
        <v>0.54576453818506943</v>
      </c>
      <c r="BU157" s="92">
        <f t="shared" si="21"/>
        <v>48122.579644470912</v>
      </c>
      <c r="BV157" s="96">
        <f>((BU157)/(101325))*(1-(0.43+0.014*'Drag Polar'!$D$31)*SQRT(BT157))</f>
        <v>0.29950249670606749</v>
      </c>
      <c r="BW157" s="92"/>
      <c r="BX157" s="92"/>
      <c r="BY157" s="92"/>
    </row>
    <row r="158" spans="1:77">
      <c r="A158" s="15"/>
      <c r="B158" s="88">
        <v>5800</v>
      </c>
      <c r="C158" s="89">
        <f t="shared" si="1"/>
        <v>5379.4075927863296</v>
      </c>
      <c r="D158" s="89">
        <f t="shared" si="2"/>
        <v>5788.633461047255</v>
      </c>
      <c r="E158" s="90">
        <f>(TLAR!$B$21/$AN$96)*(('Drag Polar'!$D$39*0.5*(1.225*0.3345)*Sheet1!$C$5^2)/(TLAR!$B$21*B158)+(TLAR!$B$21*B158)/('Drag Polar'!$D$26*PI()*'Drag Polar'!$D$6*0.5*(1.225*0.3345)*Sheet1!$C$5^2))</f>
        <v>0.30301133993858897</v>
      </c>
      <c r="F158" s="90">
        <f>((TLAR!$B$21/AL158))*(SQRT(($D$47^2*(1.225*0.3345)*SQRT(Sheet1!$C$9))/((TLAR!$B$21*B158*2)))+2*SQRT(Sheet1!$C$10))</f>
        <v>0.27300205034320069</v>
      </c>
      <c r="G158" s="97">
        <f>((TLAR!$B$40)/(TLAR!$B$40-0))*(TLAR!$F$6/AR158)*((TLAR!$F$11*0.01)+2*SQRT(($D$64)/(PI()*'Drag Polar'!$D$6*$D$65)))</f>
        <v>0.18531646889955336</v>
      </c>
      <c r="H158" s="97">
        <f>((TLAR!$B$40)/(TLAR!$B$40-1))*(TLAR!$F$14/AX158)*((TLAR!$F$19*0.01)+2*SQRT(($E$64)/(PI()*'Drag Polar'!$D$6*$E$65)))</f>
        <v>0.26213524478835637</v>
      </c>
      <c r="I158" s="97">
        <f>((TLAR!$B$40)/(TLAR!$B$40-1))*(TLAR!$F$21/BD158)*((TLAR!$F$26*0.01)+2*SQRT(($F$64)/(PI()*'Drag Polar'!$D$6*$F$65)))</f>
        <v>0.28046858190151425</v>
      </c>
      <c r="J158" s="97">
        <f>((TLAR!$B$40)/(TLAR!$B$40-1))*(TLAR!$F$28/BJ158)*((TLAR!$F$33*0.01)+2*SQRT(($G$64)/(PI()*'Drag Polar'!$D$6*$G$65)))</f>
        <v>0.18685949330408133</v>
      </c>
      <c r="K158" s="97">
        <f>((TLAR!$B$40)/(TLAR!$B$40-1))*(TLAR!$F$35/BP158)*((TLAR!$F$40*0.01)+2*SQRT(($H$64)/(PI()*'Drag Polar'!$D$6*$H$65)))</f>
        <v>0.23261705986460299</v>
      </c>
      <c r="L158" s="15">
        <f>1.15*SQRT(((TLAR!$B$40)/(TLAR!$B$40-1))*((B158)/($D$73*0.85*1.225*9.81*PI()*'Drag Polar'!$E$42*'Drag Polar'!$D$6)))+((TLAR!$B$40)/(TLAR!$B$40-1))*((4*11)/($D$73))</f>
        <v>0.18258897385954892</v>
      </c>
      <c r="M158" s="15"/>
      <c r="N158" s="15"/>
      <c r="O158" s="15"/>
      <c r="P158" s="15"/>
      <c r="Q158" s="15"/>
      <c r="R158" s="15"/>
      <c r="S158" s="15"/>
      <c r="T158" s="15"/>
      <c r="U158" s="15"/>
      <c r="V158" s="15"/>
      <c r="W158" s="15"/>
      <c r="X158" s="15"/>
      <c r="Y158" s="15"/>
      <c r="Z158" s="15"/>
      <c r="AA158" s="15"/>
      <c r="AB158" s="15"/>
      <c r="AC158" s="15"/>
      <c r="AD158" s="15"/>
      <c r="AI158" s="95">
        <f t="shared" si="22"/>
        <v>170.99436792150473</v>
      </c>
      <c r="AJ158" s="96">
        <f t="shared" si="3"/>
        <v>0.55053113120288333</v>
      </c>
      <c r="AK158" s="92">
        <f t="shared" si="4"/>
        <v>48288.916207173585</v>
      </c>
      <c r="AL158" s="96">
        <f>((AK158)/(101325))*(1-(0.43+0.014*'Drag Polar'!$D$31)*SQRT(AJ158))</f>
        <v>0.29977066935808783</v>
      </c>
      <c r="AN158" s="92"/>
      <c r="AO158" s="95">
        <f t="shared" si="5"/>
        <v>64.548668555167723</v>
      </c>
      <c r="AP158" s="96">
        <f t="shared" si="6"/>
        <v>0.18968321753428782</v>
      </c>
      <c r="AQ158" s="92">
        <f t="shared" si="7"/>
        <v>103899.98909820893</v>
      </c>
      <c r="AR158" s="96">
        <f>((AQ158)/(101325))*(1-(0.43+0.014*'Drag Polar'!$D$31)*SQRT(AP158))</f>
        <v>0.80211593028441652</v>
      </c>
      <c r="AS158" s="92"/>
      <c r="AT158" s="92"/>
      <c r="AU158" s="95">
        <f t="shared" si="8"/>
        <v>72.167605373229065</v>
      </c>
      <c r="AV158" s="96">
        <f t="shared" si="9"/>
        <v>0.21207228429877376</v>
      </c>
      <c r="AW158" s="92">
        <f t="shared" si="10"/>
        <v>104550.96785415463</v>
      </c>
      <c r="AX158" s="96">
        <f>((AW158)/(101325))*(1-(0.43+0.014*'Drag Polar'!$D$31)*SQRT(AV158))</f>
        <v>0.79425042639870025</v>
      </c>
      <c r="AY158" s="92"/>
      <c r="AZ158" s="92"/>
      <c r="BA158" s="95">
        <f t="shared" si="11"/>
        <v>72.167605373229065</v>
      </c>
      <c r="BB158" s="96">
        <f t="shared" si="12"/>
        <v>0.21207228429877376</v>
      </c>
      <c r="BC158" s="92">
        <f t="shared" si="13"/>
        <v>104550.96785415463</v>
      </c>
      <c r="BD158" s="96">
        <f>((BC158)/(101325))*(1-(0.43+0.014*'Drag Polar'!$D$31)*SQRT(BB158))</f>
        <v>0.79425042639870025</v>
      </c>
      <c r="BE158" s="92"/>
      <c r="BF158" s="92"/>
      <c r="BG158" s="95">
        <f t="shared" si="14"/>
        <v>72.167605373229065</v>
      </c>
      <c r="BH158" s="96">
        <f t="shared" si="15"/>
        <v>0.21207228429877376</v>
      </c>
      <c r="BI158" s="92">
        <f t="shared" si="16"/>
        <v>104550.96785415463</v>
      </c>
      <c r="BJ158" s="96">
        <f>((BI158)/(101325))*(1-(0.43+0.014*'Drag Polar'!$D$31)*SQRT(BH158))</f>
        <v>0.79425042639870025</v>
      </c>
      <c r="BK158" s="92"/>
      <c r="BL158" s="92"/>
      <c r="BM158" s="95">
        <f t="shared" si="17"/>
        <v>64.548668555167723</v>
      </c>
      <c r="BN158" s="96">
        <f t="shared" si="18"/>
        <v>0.18968321753428782</v>
      </c>
      <c r="BO158" s="92">
        <f t="shared" si="19"/>
        <v>103899.98909820893</v>
      </c>
      <c r="BP158" s="96">
        <f>((BO158)/(101325))*(1-(0.43+0.014*'Drag Polar'!$D$31)*SQRT(BN158))</f>
        <v>0.80211593028441652</v>
      </c>
      <c r="BQ158" s="92"/>
      <c r="BR158" s="92"/>
      <c r="BS158" s="95">
        <f t="shared" si="0"/>
        <v>170.99436792150473</v>
      </c>
      <c r="BT158" s="96">
        <f t="shared" si="20"/>
        <v>0.55053113120288333</v>
      </c>
      <c r="BU158" s="92">
        <f t="shared" si="21"/>
        <v>48288.916207173585</v>
      </c>
      <c r="BV158" s="96">
        <f>((BU158)/(101325))*(1-(0.43+0.014*'Drag Polar'!$D$31)*SQRT(BT158))</f>
        <v>0.29977066935808783</v>
      </c>
      <c r="BW158" s="92"/>
      <c r="BX158" s="92"/>
      <c r="BY158" s="92"/>
    </row>
    <row r="159" spans="1:77">
      <c r="A159" s="15"/>
      <c r="B159" s="88">
        <v>5900</v>
      </c>
      <c r="C159" s="89">
        <f t="shared" si="1"/>
        <v>5379.4075927863296</v>
      </c>
      <c r="D159" s="89">
        <f t="shared" si="2"/>
        <v>5788.633461047255</v>
      </c>
      <c r="E159" s="90">
        <f>(TLAR!$B$21/$AN$96)*(('Drag Polar'!$D$39*0.5*(1.225*0.3345)*Sheet1!$C$5^2)/(TLAR!$B$21*B159)+(TLAR!$B$21*B159)/('Drag Polar'!$D$26*PI()*'Drag Polar'!$D$6*0.5*(1.225*0.3345)*Sheet1!$C$5^2))</f>
        <v>0.30088387765661057</v>
      </c>
      <c r="F159" s="90">
        <f>((TLAR!$B$21/AL159))*(SQRT(($D$47^2*(1.225*0.3345)*SQRT(Sheet1!$C$9))/((TLAR!$B$21*B159*2)))+2*SQRT(Sheet1!$C$10))</f>
        <v>0.27210647909825902</v>
      </c>
      <c r="G159" s="97">
        <f>((TLAR!$B$40)/(TLAR!$B$40-0))*(TLAR!$F$6/AR159)*((TLAR!$F$11*0.01)+2*SQRT(($D$64)/(PI()*'Drag Polar'!$D$6*$D$65)))</f>
        <v>0.18545770744228063</v>
      </c>
      <c r="H159" s="97">
        <f>((TLAR!$B$40)/(TLAR!$B$40-1))*(TLAR!$F$14/AX159)*((TLAR!$F$19*0.01)+2*SQRT(($E$64)/(PI()*'Drag Polar'!$D$6*$E$65)))</f>
        <v>0.26233035165501795</v>
      </c>
      <c r="I159" s="97">
        <f>((TLAR!$B$40)/(TLAR!$B$40-1))*(TLAR!$F$21/BD159)*((TLAR!$F$26*0.01)+2*SQRT(($F$64)/(PI()*'Drag Polar'!$D$6*$F$65)))</f>
        <v>0.28067733424329105</v>
      </c>
      <c r="J159" s="97">
        <f>((TLAR!$B$40)/(TLAR!$B$40-1))*(TLAR!$F$28/BJ159)*((TLAR!$F$33*0.01)+2*SQRT(($G$64)/(PI()*'Drag Polar'!$D$6*$G$65)))</f>
        <v>0.18699857254263988</v>
      </c>
      <c r="K159" s="97">
        <f>((TLAR!$B$40)/(TLAR!$B$40-1))*(TLAR!$F$35/BP159)*((TLAR!$F$40*0.01)+2*SQRT(($H$64)/(PI()*'Drag Polar'!$D$6*$H$65)))</f>
        <v>0.23279434844960506</v>
      </c>
      <c r="L159" s="15">
        <f>1.15*SQRT(((TLAR!$B$40)/(TLAR!$B$40-1))*((B159)/($D$73*0.85*1.225*9.81*PI()*'Drag Polar'!$E$42*'Drag Polar'!$D$6)))+((TLAR!$B$40)/(TLAR!$B$40-1))*((4*11)/($D$73))</f>
        <v>0.18387443222624508</v>
      </c>
      <c r="M159" s="15"/>
      <c r="N159" s="15"/>
      <c r="O159" s="15"/>
      <c r="P159" s="15"/>
      <c r="Q159" s="15"/>
      <c r="R159" s="15"/>
      <c r="S159" s="15"/>
      <c r="T159" s="15"/>
      <c r="U159" s="15"/>
      <c r="V159" s="15"/>
      <c r="W159" s="15"/>
      <c r="X159" s="15"/>
      <c r="Y159" s="15"/>
      <c r="Z159" s="15"/>
      <c r="AA159" s="15"/>
      <c r="AB159" s="15"/>
      <c r="AC159" s="15"/>
      <c r="AD159" s="15"/>
      <c r="AI159" s="95">
        <f t="shared" si="22"/>
        <v>172.46215765782782</v>
      </c>
      <c r="AJ159" s="96">
        <f t="shared" si="3"/>
        <v>0.55525680698816338</v>
      </c>
      <c r="AK159" s="92">
        <f t="shared" si="4"/>
        <v>48455.663040083586</v>
      </c>
      <c r="AL159" s="96">
        <f>((AK159)/(101325))*(1-(0.43+0.014*'Drag Polar'!$D$31)*SQRT(AJ159))</f>
        <v>0.30004598768681956</v>
      </c>
      <c r="AN159" s="92"/>
      <c r="AO159" s="95">
        <f t="shared" si="5"/>
        <v>65.102744542290807</v>
      </c>
      <c r="AP159" s="96">
        <f t="shared" si="6"/>
        <v>0.19131142952298544</v>
      </c>
      <c r="AQ159" s="92">
        <f t="shared" si="7"/>
        <v>103944.79098104629</v>
      </c>
      <c r="AR159" s="96">
        <f>((AQ159)/(101325))*(1-(0.43+0.014*'Drag Polar'!$D$31)*SQRT(AP159))</f>
        <v>0.80150506494668461</v>
      </c>
      <c r="AS159" s="92"/>
      <c r="AT159" s="92"/>
      <c r="AU159" s="95">
        <f t="shared" si="8"/>
        <v>72.787081159182833</v>
      </c>
      <c r="AV159" s="96">
        <f t="shared" si="9"/>
        <v>0.21389268064302777</v>
      </c>
      <c r="AW159" s="92">
        <f t="shared" si="10"/>
        <v>104607.22275802633</v>
      </c>
      <c r="AX159" s="96">
        <f>((AW159)/(101325))*(1-(0.43+0.014*'Drag Polar'!$D$31)*SQRT(AV159))</f>
        <v>0.79365970667808217</v>
      </c>
      <c r="AY159" s="92"/>
      <c r="AZ159" s="92"/>
      <c r="BA159" s="95">
        <f t="shared" si="11"/>
        <v>72.787081159182833</v>
      </c>
      <c r="BB159" s="96">
        <f t="shared" si="12"/>
        <v>0.21389268064302777</v>
      </c>
      <c r="BC159" s="92">
        <f t="shared" si="13"/>
        <v>104607.22275802633</v>
      </c>
      <c r="BD159" s="96">
        <f>((BC159)/(101325))*(1-(0.43+0.014*'Drag Polar'!$D$31)*SQRT(BB159))</f>
        <v>0.79365970667808217</v>
      </c>
      <c r="BE159" s="92"/>
      <c r="BF159" s="92"/>
      <c r="BG159" s="95">
        <f t="shared" si="14"/>
        <v>72.787081159182833</v>
      </c>
      <c r="BH159" s="96">
        <f t="shared" si="15"/>
        <v>0.21389268064302777</v>
      </c>
      <c r="BI159" s="92">
        <f t="shared" si="16"/>
        <v>104607.22275802633</v>
      </c>
      <c r="BJ159" s="96">
        <f>((BI159)/(101325))*(1-(0.43+0.014*'Drag Polar'!$D$31)*SQRT(BH159))</f>
        <v>0.79365970667808217</v>
      </c>
      <c r="BK159" s="92"/>
      <c r="BL159" s="92"/>
      <c r="BM159" s="95">
        <f t="shared" si="17"/>
        <v>65.102744542290807</v>
      </c>
      <c r="BN159" s="96">
        <f t="shared" si="18"/>
        <v>0.19131142952298544</v>
      </c>
      <c r="BO159" s="92">
        <f t="shared" si="19"/>
        <v>103944.79098104629</v>
      </c>
      <c r="BP159" s="96">
        <f>((BO159)/(101325))*(1-(0.43+0.014*'Drag Polar'!$D$31)*SQRT(BN159))</f>
        <v>0.80150506494668461</v>
      </c>
      <c r="BQ159" s="92"/>
      <c r="BR159" s="92"/>
      <c r="BS159" s="95">
        <f t="shared" si="0"/>
        <v>172.46215765782782</v>
      </c>
      <c r="BT159" s="96">
        <f t="shared" si="20"/>
        <v>0.55525680698816338</v>
      </c>
      <c r="BU159" s="92">
        <f t="shared" si="21"/>
        <v>48455.663040083586</v>
      </c>
      <c r="BV159" s="96">
        <f>((BU159)/(101325))*(1-(0.43+0.014*'Drag Polar'!$D$31)*SQRT(BT159))</f>
        <v>0.30004598768681956</v>
      </c>
      <c r="BW159" s="92"/>
      <c r="BX159" s="92"/>
      <c r="BY159" s="92"/>
    </row>
    <row r="160" spans="1:77">
      <c r="A160" s="15"/>
      <c r="B160" s="88">
        <v>6000</v>
      </c>
      <c r="C160" s="89">
        <f t="shared" si="1"/>
        <v>5379.4075927863296</v>
      </c>
      <c r="D160" s="89">
        <f t="shared" si="2"/>
        <v>5788.633461047255</v>
      </c>
      <c r="E160" s="90">
        <f>(TLAR!$B$21/$AN$96)*(('Drag Polar'!$D$39*0.5*(1.225*0.3345)*Sheet1!$C$5^2)/(TLAR!$B$21*B160)+(TLAR!$B$21*B160)/('Drag Polar'!$D$26*PI()*'Drag Polar'!$D$6*0.5*(1.225*0.3345)*Sheet1!$C$5^2))</f>
        <v>0.29887789803910314</v>
      </c>
      <c r="F160" s="90">
        <f>((TLAR!$B$21/AL160))*(SQRT(($D$47^2*(1.225*0.3345)*SQRT(Sheet1!$C$9))/((TLAR!$B$21*B160*2)))+2*SQRT(Sheet1!$C$10))</f>
        <v>0.27122246238588205</v>
      </c>
      <c r="G160" s="97">
        <f>((TLAR!$B$40)/(TLAR!$B$40-0))*(TLAR!$F$6/AR160)*((TLAR!$F$11*0.01)+2*SQRT(($D$64)/(PI()*'Drag Polar'!$D$6*$D$65)))</f>
        <v>0.18559652601584917</v>
      </c>
      <c r="H160" s="97">
        <f>((TLAR!$B$40)/(TLAR!$B$40-1))*(TLAR!$F$14/AX160)*((TLAR!$F$19*0.01)+2*SQRT(($E$64)/(PI()*'Drag Polar'!$D$6*$E$65)))</f>
        <v>0.26252179801636688</v>
      </c>
      <c r="I160" s="97">
        <f>((TLAR!$B$40)/(TLAR!$B$40-1))*(TLAR!$F$21/BD160)*((TLAR!$F$26*0.01)+2*SQRT(($F$64)/(PI()*'Drag Polar'!$D$6*$F$65)))</f>
        <v>0.28088217006962601</v>
      </c>
      <c r="J160" s="97">
        <f>((TLAR!$B$40)/(TLAR!$B$40-1))*(TLAR!$F$28/BJ160)*((TLAR!$F$33*0.01)+2*SQRT(($G$64)/(PI()*'Drag Polar'!$D$6*$G$65)))</f>
        <v>0.18713504244048004</v>
      </c>
      <c r="K160" s="97">
        <f>((TLAR!$B$40)/(TLAR!$B$40-1))*(TLAR!$F$35/BP160)*((TLAR!$F$40*0.01)+2*SQRT(($H$64)/(PI()*'Drag Polar'!$D$6*$H$65)))</f>
        <v>0.23296859938709519</v>
      </c>
      <c r="L160" s="15">
        <f>1.15*SQRT(((TLAR!$B$40)/(TLAR!$B$40-1))*((B160)/($D$73*0.85*1.225*9.81*PI()*'Drag Polar'!$E$42*'Drag Polar'!$D$6)))+((TLAR!$B$40)/(TLAR!$B$40-1))*((4*11)/($D$73))</f>
        <v>0.18514904226109882</v>
      </c>
      <c r="M160" s="15"/>
      <c r="N160" s="15"/>
      <c r="O160" s="15"/>
      <c r="P160" s="15"/>
      <c r="Q160" s="15"/>
      <c r="R160" s="15"/>
      <c r="S160" s="15"/>
      <c r="T160" s="15"/>
      <c r="U160" s="15"/>
      <c r="V160" s="15"/>
      <c r="W160" s="15"/>
      <c r="X160" s="15"/>
      <c r="Y160" s="15"/>
      <c r="Z160" s="15"/>
      <c r="AA160" s="15"/>
      <c r="AB160" s="15"/>
      <c r="AC160" s="15"/>
      <c r="AD160" s="15"/>
      <c r="AI160" s="95">
        <f t="shared" si="22"/>
        <v>173.91756031842212</v>
      </c>
      <c r="AJ160" s="96">
        <f t="shared" si="3"/>
        <v>0.55994260151363273</v>
      </c>
      <c r="AK160" s="92">
        <f t="shared" si="4"/>
        <v>48622.820749763108</v>
      </c>
      <c r="AL160" s="96">
        <f>((AK160)/(101325))*(1-(0.43+0.014*'Drag Polar'!$D$31)*SQRT(AJ160))</f>
        <v>0.30032824572000061</v>
      </c>
      <c r="AN160" s="92"/>
      <c r="AO160" s="95">
        <f t="shared" si="5"/>
        <v>65.652144531863186</v>
      </c>
      <c r="AP160" s="96">
        <f t="shared" si="6"/>
        <v>0.19292590058905129</v>
      </c>
      <c r="AQ160" s="92">
        <f t="shared" si="7"/>
        <v>103989.60666122779</v>
      </c>
      <c r="AR160" s="96">
        <f>((AQ160)/(101325))*(1-(0.43+0.014*'Drag Polar'!$D$31)*SQRT(AP160))</f>
        <v>0.80090557209941893</v>
      </c>
      <c r="AS160" s="92"/>
      <c r="AT160" s="92"/>
      <c r="AU160" s="95">
        <f t="shared" si="8"/>
        <v>73.401329020943592</v>
      </c>
      <c r="AV160" s="96">
        <f t="shared" si="9"/>
        <v>0.2156977141687427</v>
      </c>
      <c r="AW160" s="92">
        <f t="shared" si="10"/>
        <v>104663.49927902258</v>
      </c>
      <c r="AX160" s="96">
        <f>((AW160)/(101325))*(1-(0.43+0.014*'Drag Polar'!$D$31)*SQRT(AV160))</f>
        <v>0.79308092326222546</v>
      </c>
      <c r="AY160" s="92"/>
      <c r="AZ160" s="92"/>
      <c r="BA160" s="95">
        <f t="shared" si="11"/>
        <v>73.401329020943592</v>
      </c>
      <c r="BB160" s="96">
        <f t="shared" si="12"/>
        <v>0.2156977141687427</v>
      </c>
      <c r="BC160" s="92">
        <f t="shared" si="13"/>
        <v>104663.49927902258</v>
      </c>
      <c r="BD160" s="96">
        <f>((BC160)/(101325))*(1-(0.43+0.014*'Drag Polar'!$D$31)*SQRT(BB160))</f>
        <v>0.79308092326222546</v>
      </c>
      <c r="BE160" s="92"/>
      <c r="BF160" s="92"/>
      <c r="BG160" s="95">
        <f t="shared" si="14"/>
        <v>73.401329020943592</v>
      </c>
      <c r="BH160" s="96">
        <f t="shared" si="15"/>
        <v>0.2156977141687427</v>
      </c>
      <c r="BI160" s="92">
        <f t="shared" si="16"/>
        <v>104663.49927902258</v>
      </c>
      <c r="BJ160" s="96">
        <f>((BI160)/(101325))*(1-(0.43+0.014*'Drag Polar'!$D$31)*SQRT(BH160))</f>
        <v>0.79308092326222546</v>
      </c>
      <c r="BK160" s="92"/>
      <c r="BL160" s="92"/>
      <c r="BM160" s="95">
        <f t="shared" si="17"/>
        <v>65.652144531863186</v>
      </c>
      <c r="BN160" s="96">
        <f t="shared" si="18"/>
        <v>0.19292590058905129</v>
      </c>
      <c r="BO160" s="92">
        <f t="shared" si="19"/>
        <v>103989.60666122779</v>
      </c>
      <c r="BP160" s="96">
        <f>((BO160)/(101325))*(1-(0.43+0.014*'Drag Polar'!$D$31)*SQRT(BN160))</f>
        <v>0.80090557209941893</v>
      </c>
      <c r="BQ160" s="92"/>
      <c r="BR160" s="92"/>
      <c r="BS160" s="95">
        <f t="shared" si="0"/>
        <v>173.91756031842212</v>
      </c>
      <c r="BT160" s="96">
        <f t="shared" si="20"/>
        <v>0.55994260151363273</v>
      </c>
      <c r="BU160" s="92">
        <f t="shared" si="21"/>
        <v>48622.820749763108</v>
      </c>
      <c r="BV160" s="96">
        <f>((BU160)/(101325))*(1-(0.43+0.014*'Drag Polar'!$D$31)*SQRT(BT160))</f>
        <v>0.30032824572000061</v>
      </c>
      <c r="BW160" s="92"/>
      <c r="BX160" s="92"/>
      <c r="BY160" s="92"/>
    </row>
    <row r="161" spans="1:77">
      <c r="A161" s="15"/>
      <c r="B161" s="88">
        <v>6100</v>
      </c>
      <c r="C161" s="89">
        <f t="shared" si="1"/>
        <v>5379.4075927863296</v>
      </c>
      <c r="D161" s="89">
        <f t="shared" si="2"/>
        <v>5788.633461047255</v>
      </c>
      <c r="E161" s="90">
        <f>(TLAR!$B$21/$AN$96)*(('Drag Polar'!$D$39*0.5*(1.225*0.3345)*Sheet1!$C$5^2)/(TLAR!$B$21*B161)+(TLAR!$B$21*B161)/('Drag Polar'!$D$26*PI()*'Drag Polar'!$D$6*0.5*(1.225*0.3345)*Sheet1!$C$5^2))</f>
        <v>0.29698742652879773</v>
      </c>
      <c r="F161" s="90">
        <f>((TLAR!$B$21/AL161))*(SQRT(($D$47^2*(1.225*0.3345)*SQRT(Sheet1!$C$9))/((TLAR!$B$21*B161*2)))+2*SQRT(Sheet1!$C$10))</f>
        <v>0.27034954009002787</v>
      </c>
      <c r="G161" s="97">
        <f>((TLAR!$B$40)/(TLAR!$B$40-0))*(TLAR!$F$6/AR161)*((TLAR!$F$11*0.01)+2*SQRT(($D$64)/(PI()*'Drag Polar'!$D$6*$D$65)))</f>
        <v>0.18573299109408262</v>
      </c>
      <c r="H161" s="97">
        <f>((TLAR!$B$40)/(TLAR!$B$40-1))*(TLAR!$F$14/AX161)*((TLAR!$F$19*0.01)+2*SQRT(($E$64)/(PI()*'Drag Polar'!$D$6*$E$65)))</f>
        <v>0.26270968422786373</v>
      </c>
      <c r="I161" s="97">
        <f>((TLAR!$B$40)/(TLAR!$B$40-1))*(TLAR!$F$21/BD161)*((TLAR!$F$26*0.01)+2*SQRT(($F$64)/(PI()*'Drag Polar'!$D$6*$F$65)))</f>
        <v>0.28108319675468674</v>
      </c>
      <c r="J161" s="97">
        <f>((TLAR!$B$40)/(TLAR!$B$40-1))*(TLAR!$F$28/BJ161)*((TLAR!$F$33*0.01)+2*SQRT(($G$64)/(PI()*'Drag Polar'!$D$6*$G$65)))</f>
        <v>0.18726897453460753</v>
      </c>
      <c r="K161" s="97">
        <f>((TLAR!$B$40)/(TLAR!$B$40-1))*(TLAR!$F$35/BP161)*((TLAR!$F$40*0.01)+2*SQRT(($H$64)/(PI()*'Drag Polar'!$D$6*$H$65)))</f>
        <v>0.23313989611782482</v>
      </c>
      <c r="L161" s="15">
        <f>1.15*SQRT(((TLAR!$B$40)/(TLAR!$B$40-1))*((B161)/($D$73*0.85*1.225*9.81*PI()*'Drag Polar'!$E$42*'Drag Polar'!$D$6)))+((TLAR!$B$40)/(TLAR!$B$40-1))*((4*11)/($D$73))</f>
        <v>0.18641307407061039</v>
      </c>
      <c r="M161" s="15"/>
      <c r="N161" s="15"/>
      <c r="O161" s="15"/>
      <c r="P161" s="15"/>
      <c r="Q161" s="15"/>
      <c r="R161" s="15"/>
      <c r="S161" s="15"/>
      <c r="T161" s="15"/>
      <c r="U161" s="15"/>
      <c r="V161" s="15"/>
      <c r="W161" s="15"/>
      <c r="X161" s="15"/>
      <c r="Y161" s="15"/>
      <c r="Z161" s="15"/>
      <c r="AA161" s="15"/>
      <c r="AB161" s="15"/>
      <c r="AC161" s="15"/>
      <c r="AD161" s="15"/>
      <c r="AI161" s="95">
        <f t="shared" si="22"/>
        <v>175.36088432210451</v>
      </c>
      <c r="AJ161" s="96">
        <f t="shared" si="3"/>
        <v>0.56458950776030103</v>
      </c>
      <c r="AK161" s="92">
        <f t="shared" si="4"/>
        <v>48790.389943073089</v>
      </c>
      <c r="AL161" s="96">
        <f>((AK161)/(101325))*(1-(0.43+0.014*'Drag Polar'!$D$31)*SQRT(AJ161))</f>
        <v>0.30061724729131079</v>
      </c>
      <c r="AN161" s="92"/>
      <c r="AO161" s="95">
        <f t="shared" si="5"/>
        <v>66.196984948912359</v>
      </c>
      <c r="AP161" s="96">
        <f t="shared" si="6"/>
        <v>0.19452697285997322</v>
      </c>
      <c r="AQ161" s="92">
        <f t="shared" si="7"/>
        <v>104034.43614130245</v>
      </c>
      <c r="AR161" s="96">
        <f>((AQ161)/(101325))*(1-(0.43+0.014*'Drag Polar'!$D$31)*SQRT(AP161))</f>
        <v>0.80031711637644631</v>
      </c>
      <c r="AS161" s="92"/>
      <c r="AT161" s="92"/>
      <c r="AU161" s="95">
        <f t="shared" si="8"/>
        <v>74.01047912564924</v>
      </c>
      <c r="AV161" s="96">
        <f t="shared" si="9"/>
        <v>0.21748776738607842</v>
      </c>
      <c r="AW161" s="92">
        <f t="shared" si="10"/>
        <v>104719.79742212668</v>
      </c>
      <c r="AX161" s="96">
        <f>((AW161)/(101325))*(1-(0.43+0.014*'Drag Polar'!$D$31)*SQRT(AV161))</f>
        <v>0.79251372312066948</v>
      </c>
      <c r="AY161" s="92"/>
      <c r="AZ161" s="92"/>
      <c r="BA161" s="95">
        <f t="shared" si="11"/>
        <v>74.01047912564924</v>
      </c>
      <c r="BB161" s="96">
        <f t="shared" si="12"/>
        <v>0.21748776738607842</v>
      </c>
      <c r="BC161" s="92">
        <f t="shared" si="13"/>
        <v>104719.79742212668</v>
      </c>
      <c r="BD161" s="96">
        <f>((BC161)/(101325))*(1-(0.43+0.014*'Drag Polar'!$D$31)*SQRT(BB161))</f>
        <v>0.79251372312066948</v>
      </c>
      <c r="BE161" s="92"/>
      <c r="BF161" s="92"/>
      <c r="BG161" s="95">
        <f t="shared" si="14"/>
        <v>74.01047912564924</v>
      </c>
      <c r="BH161" s="96">
        <f t="shared" si="15"/>
        <v>0.21748776738607842</v>
      </c>
      <c r="BI161" s="92">
        <f t="shared" si="16"/>
        <v>104719.79742212668</v>
      </c>
      <c r="BJ161" s="96">
        <f>((BI161)/(101325))*(1-(0.43+0.014*'Drag Polar'!$D$31)*SQRT(BH161))</f>
        <v>0.79251372312066948</v>
      </c>
      <c r="BK161" s="92"/>
      <c r="BL161" s="92"/>
      <c r="BM161" s="95">
        <f t="shared" si="17"/>
        <v>66.196984948912359</v>
      </c>
      <c r="BN161" s="96">
        <f t="shared" si="18"/>
        <v>0.19452697285997322</v>
      </c>
      <c r="BO161" s="92">
        <f t="shared" si="19"/>
        <v>104034.43614130245</v>
      </c>
      <c r="BP161" s="96">
        <f>((BO161)/(101325))*(1-(0.43+0.014*'Drag Polar'!$D$31)*SQRT(BN161))</f>
        <v>0.80031711637644631</v>
      </c>
      <c r="BQ161" s="92"/>
      <c r="BR161" s="92"/>
      <c r="BS161" s="95">
        <f t="shared" si="0"/>
        <v>175.36088432210451</v>
      </c>
      <c r="BT161" s="96">
        <f t="shared" si="20"/>
        <v>0.56458950776030103</v>
      </c>
      <c r="BU161" s="92">
        <f t="shared" si="21"/>
        <v>48790.389943073089</v>
      </c>
      <c r="BV161" s="96">
        <f>((BU161)/(101325))*(1-(0.43+0.014*'Drag Polar'!$D$31)*SQRT(BT161))</f>
        <v>0.30061724729131079</v>
      </c>
      <c r="BW161" s="92"/>
      <c r="BX161" s="92"/>
      <c r="BY161" s="92"/>
    </row>
    <row r="162" spans="1:77">
      <c r="A162" s="15"/>
      <c r="B162" s="88">
        <v>6200</v>
      </c>
      <c r="C162" s="89">
        <f t="shared" si="1"/>
        <v>5379.4075927863296</v>
      </c>
      <c r="D162" s="89">
        <f t="shared" si="2"/>
        <v>5788.633461047255</v>
      </c>
      <c r="E162" s="90">
        <f>(TLAR!$B$21/$AN$96)*(('Drag Polar'!$D$39*0.5*(1.225*0.3345)*Sheet1!$C$5^2)/(TLAR!$B$21*B162)+(TLAR!$B$21*B162)/('Drag Polar'!$D$26*PI()*'Drag Polar'!$D$6*0.5*(1.225*0.3345)*Sheet1!$C$5^2))</f>
        <v>0.29520687402373291</v>
      </c>
      <c r="F162" s="90">
        <f>((TLAR!$B$21/AL162))*(SQRT(($D$47^2*(1.225*0.3345)*SQRT(Sheet1!$C$9))/((TLAR!$B$21*B162*2)))+2*SQRT(Sheet1!$C$10))</f>
        <v>0.26948727949486484</v>
      </c>
      <c r="G162" s="97">
        <f>((TLAR!$B$40)/(TLAR!$B$40-0))*(TLAR!$F$6/AR162)*((TLAR!$F$11*0.01)+2*SQRT(($D$64)/(PI()*'Drag Polar'!$D$6*$D$65)))</f>
        <v>0.18586716625903327</v>
      </c>
      <c r="H162" s="97">
        <f>((TLAR!$B$40)/(TLAR!$B$40-1))*(TLAR!$F$14/AX162)*((TLAR!$F$19*0.01)+2*SQRT(($E$64)/(PI()*'Drag Polar'!$D$6*$E$65)))</f>
        <v>0.26289410629291776</v>
      </c>
      <c r="I162" s="97">
        <f>((TLAR!$B$40)/(TLAR!$B$40-1))*(TLAR!$F$21/BD162)*((TLAR!$F$26*0.01)+2*SQRT(($F$64)/(PI()*'Drag Polar'!$D$6*$F$65)))</f>
        <v>0.28128051701621359</v>
      </c>
      <c r="J162" s="97">
        <f>((TLAR!$B$40)/(TLAR!$B$40-1))*(TLAR!$F$28/BJ162)*((TLAR!$F$33*0.01)+2*SQRT(($G$64)/(PI()*'Drag Polar'!$D$6*$G$65)))</f>
        <v>0.18740043725972835</v>
      </c>
      <c r="K162" s="97">
        <f>((TLAR!$B$40)/(TLAR!$B$40-1))*(TLAR!$F$35/BP162)*((TLAR!$F$40*0.01)+2*SQRT(($H$64)/(PI()*'Drag Polar'!$D$6*$H$65)))</f>
        <v>0.23330831845267186</v>
      </c>
      <c r="L162" s="15">
        <f>1.15*SQRT(((TLAR!$B$40)/(TLAR!$B$40-1))*((B162)/($D$73*0.85*1.225*9.81*PI()*'Drag Polar'!$E$42*'Drag Polar'!$D$6)))+((TLAR!$B$40)/(TLAR!$B$40-1))*((4*11)/($D$73))</f>
        <v>0.18766678673521178</v>
      </c>
      <c r="M162" s="15"/>
      <c r="N162" s="15"/>
      <c r="O162" s="15"/>
      <c r="P162" s="15"/>
      <c r="Q162" s="15"/>
      <c r="R162" s="15"/>
      <c r="S162" s="15"/>
      <c r="T162" s="15"/>
      <c r="U162" s="15"/>
      <c r="V162" s="15"/>
      <c r="W162" s="15"/>
      <c r="X162" s="15"/>
      <c r="Y162" s="15"/>
      <c r="Z162" s="15"/>
      <c r="AA162" s="15"/>
      <c r="AB162" s="15"/>
      <c r="AC162" s="15"/>
      <c r="AD162" s="15"/>
      <c r="AI162" s="95">
        <f t="shared" si="22"/>
        <v>176.7924254976696</v>
      </c>
      <c r="AJ162" s="96">
        <f t="shared" si="3"/>
        <v>0.56919847817451452</v>
      </c>
      <c r="AK162" s="92">
        <f t="shared" si="4"/>
        <v>48958.371227172836</v>
      </c>
      <c r="AL162" s="96">
        <f>((AK162)/(101325))*(1-(0.43+0.014*'Drag Polar'!$D$31)*SQRT(AJ162))</f>
        <v>0.30091280542707283</v>
      </c>
      <c r="AN162" s="92"/>
      <c r="AO162" s="95">
        <f t="shared" si="5"/>
        <v>66.737377465857975</v>
      </c>
      <c r="AP162" s="96">
        <f t="shared" si="6"/>
        <v>0.19611497449718887</v>
      </c>
      <c r="AQ162" s="92">
        <f t="shared" si="7"/>
        <v>104079.27942381965</v>
      </c>
      <c r="AR162" s="96">
        <f>((AQ162)/(101325))*(1-(0.43+0.014*'Drag Polar'!$D$31)*SQRT(AP162))</f>
        <v>0.79973937753604785</v>
      </c>
      <c r="AS162" s="92"/>
      <c r="AT162" s="92"/>
      <c r="AU162" s="95">
        <f t="shared" si="8"/>
        <v>74.614656326860541</v>
      </c>
      <c r="AV162" s="96">
        <f t="shared" si="9"/>
        <v>0.21926320719067599</v>
      </c>
      <c r="AW162" s="92">
        <f t="shared" si="10"/>
        <v>104776.11719232232</v>
      </c>
      <c r="AX162" s="96">
        <f>((AW162)/(101325))*(1-(0.43+0.014*'Drag Polar'!$D$31)*SQRT(AV162))</f>
        <v>0.79195776916847727</v>
      </c>
      <c r="AY162" s="92"/>
      <c r="AZ162" s="92"/>
      <c r="BA162" s="95">
        <f t="shared" si="11"/>
        <v>74.614656326860541</v>
      </c>
      <c r="BB162" s="96">
        <f t="shared" si="12"/>
        <v>0.21926320719067599</v>
      </c>
      <c r="BC162" s="92">
        <f t="shared" si="13"/>
        <v>104776.11719232232</v>
      </c>
      <c r="BD162" s="96">
        <f>((BC162)/(101325))*(1-(0.43+0.014*'Drag Polar'!$D$31)*SQRT(BB162))</f>
        <v>0.79195776916847727</v>
      </c>
      <c r="BE162" s="92"/>
      <c r="BF162" s="92"/>
      <c r="BG162" s="95">
        <f t="shared" si="14"/>
        <v>74.614656326860541</v>
      </c>
      <c r="BH162" s="96">
        <f t="shared" si="15"/>
        <v>0.21926320719067599</v>
      </c>
      <c r="BI162" s="92">
        <f t="shared" si="16"/>
        <v>104776.11719232232</v>
      </c>
      <c r="BJ162" s="96">
        <f>((BI162)/(101325))*(1-(0.43+0.014*'Drag Polar'!$D$31)*SQRT(BH162))</f>
        <v>0.79195776916847727</v>
      </c>
      <c r="BK162" s="92"/>
      <c r="BL162" s="92"/>
      <c r="BM162" s="95">
        <f t="shared" si="17"/>
        <v>66.737377465857975</v>
      </c>
      <c r="BN162" s="96">
        <f t="shared" si="18"/>
        <v>0.19611497449718887</v>
      </c>
      <c r="BO162" s="92">
        <f t="shared" si="19"/>
        <v>104079.27942381965</v>
      </c>
      <c r="BP162" s="96">
        <f>((BO162)/(101325))*(1-(0.43+0.014*'Drag Polar'!$D$31)*SQRT(BN162))</f>
        <v>0.79973937753604785</v>
      </c>
      <c r="BQ162" s="92"/>
      <c r="BR162" s="92"/>
      <c r="BS162" s="95">
        <f t="shared" si="0"/>
        <v>176.7924254976696</v>
      </c>
      <c r="BT162" s="96">
        <f t="shared" si="20"/>
        <v>0.56919847817451452</v>
      </c>
      <c r="BU162" s="92">
        <f t="shared" si="21"/>
        <v>48958.371227172836</v>
      </c>
      <c r="BV162" s="96">
        <f>((BU162)/(101325))*(1-(0.43+0.014*'Drag Polar'!$D$31)*SQRT(BT162))</f>
        <v>0.30091280542707283</v>
      </c>
      <c r="BW162" s="92"/>
      <c r="BX162" s="92"/>
      <c r="BY162" s="92"/>
    </row>
    <row r="163" spans="1:77">
      <c r="A163" s="15"/>
      <c r="B163" s="88">
        <v>6300</v>
      </c>
      <c r="C163" s="89">
        <f t="shared" si="1"/>
        <v>5379.4075927863296</v>
      </c>
      <c r="D163" s="89">
        <f t="shared" si="2"/>
        <v>5788.633461047255</v>
      </c>
      <c r="E163" s="90">
        <f>(TLAR!$B$21/$AN$96)*(('Drag Polar'!$D$39*0.5*(1.225*0.3345)*Sheet1!$C$5^2)/(TLAR!$B$21*B163)+(TLAR!$B$21*B163)/('Drag Polar'!$D$26*PI()*'Drag Polar'!$D$6*0.5*(1.225*0.3345)*Sheet1!$C$5^2))</f>
        <v>0.29353100628556383</v>
      </c>
      <c r="F163" s="90">
        <f>((TLAR!$B$21/AL163))*(SQRT(($D$47^2*(1.225*0.3345)*SQRT(Sheet1!$C$9))/((TLAR!$B$21*B163*2)))+2*SQRT(Sheet1!$C$10))</f>
        <v>0.26863527325564068</v>
      </c>
      <c r="G163" s="97">
        <f>((TLAR!$B$40)/(TLAR!$B$40-0))*(TLAR!$F$6/AR163)*((TLAR!$F$11*0.01)+2*SQRT(($D$64)/(PI()*'Drag Polar'!$D$6*$D$65)))</f>
        <v>0.18599911237175479</v>
      </c>
      <c r="H163" s="97">
        <f>((TLAR!$B$40)/(TLAR!$B$40-1))*(TLAR!$F$14/AX163)*((TLAR!$F$19*0.01)+2*SQRT(($E$64)/(PI()*'Drag Polar'!$D$6*$E$65)))</f>
        <v>0.26307515611945753</v>
      </c>
      <c r="I163" s="97">
        <f>((TLAR!$B$40)/(TLAR!$B$40-1))*(TLAR!$F$21/BD163)*((TLAR!$F$26*0.01)+2*SQRT(($F$64)/(PI()*'Drag Polar'!$D$6*$F$65)))</f>
        <v>0.2814742291900349</v>
      </c>
      <c r="J163" s="97">
        <f>((TLAR!$B$40)/(TLAR!$B$40-1))*(TLAR!$F$28/BJ163)*((TLAR!$F$33*0.01)+2*SQRT(($G$64)/(PI()*'Drag Polar'!$D$6*$G$65)))</f>
        <v>0.18752949613114156</v>
      </c>
      <c r="K163" s="97">
        <f>((TLAR!$B$40)/(TLAR!$B$40-1))*(TLAR!$F$35/BP163)*((TLAR!$F$40*0.01)+2*SQRT(($H$64)/(PI()*'Drag Polar'!$D$6*$H$65)))</f>
        <v>0.23347394278700168</v>
      </c>
      <c r="L163" s="15">
        <f>1.15*SQRT(((TLAR!$B$40)/(TLAR!$B$40-1))*((B163)/($D$73*0.85*1.225*9.81*PI()*'Drag Polar'!$E$42*'Drag Polar'!$D$6)))+((TLAR!$B$40)/(TLAR!$B$40-1))*((4*11)/($D$73))</f>
        <v>0.18891042892929913</v>
      </c>
      <c r="M163" s="15"/>
      <c r="N163" s="15"/>
      <c r="O163" s="15"/>
      <c r="P163" s="15"/>
      <c r="Q163" s="15"/>
      <c r="R163" s="15"/>
      <c r="S163" s="15"/>
      <c r="T163" s="15"/>
      <c r="U163" s="15"/>
      <c r="V163" s="15"/>
      <c r="W163" s="15"/>
      <c r="X163" s="15"/>
      <c r="Y163" s="15"/>
      <c r="Z163" s="15"/>
      <c r="AA163" s="15"/>
      <c r="AB163" s="15"/>
      <c r="AC163" s="15"/>
      <c r="AD163" s="15"/>
      <c r="AI163" s="95">
        <f t="shared" si="22"/>
        <v>178.21246779186799</v>
      </c>
      <c r="AJ163" s="96">
        <f t="shared" si="3"/>
        <v>0.57377042694735281</v>
      </c>
      <c r="AK163" s="92">
        <f t="shared" si="4"/>
        <v>49126.765209520127</v>
      </c>
      <c r="AL163" s="96">
        <f>((AK163)/(101325))*(1-(0.43+0.014*'Drag Polar'!$D$31)*SQRT(AJ163))</f>
        <v>0.30121474178032276</v>
      </c>
      <c r="AN163" s="92"/>
      <c r="AO163" s="95">
        <f t="shared" si="5"/>
        <v>67.273429269766567</v>
      </c>
      <c r="AP163" s="96">
        <f t="shared" si="6"/>
        <v>0.19769022048144241</v>
      </c>
      <c r="AQ163" s="92">
        <f t="shared" si="7"/>
        <v>104124.13651132872</v>
      </c>
      <c r="AR163" s="96">
        <f>((AQ163)/(101325))*(1-(0.43+0.014*'Drag Polar'!$D$31)*SQRT(AP163))</f>
        <v>0.79917204954877608</v>
      </c>
      <c r="AS163" s="92"/>
      <c r="AT163" s="92"/>
      <c r="AU163" s="95">
        <f t="shared" si="8"/>
        <v>75.21398046336104</v>
      </c>
      <c r="AV163" s="96">
        <f t="shared" si="9"/>
        <v>0.22102438574171324</v>
      </c>
      <c r="AW163" s="92">
        <f t="shared" si="10"/>
        <v>104832.45859459371</v>
      </c>
      <c r="AX163" s="96">
        <f>((AW163)/(101325))*(1-(0.43+0.014*'Drag Polar'!$D$31)*SQRT(AV163))</f>
        <v>0.79141273930381884</v>
      </c>
      <c r="AY163" s="92"/>
      <c r="AZ163" s="92"/>
      <c r="BA163" s="95">
        <f t="shared" si="11"/>
        <v>75.21398046336104</v>
      </c>
      <c r="BB163" s="96">
        <f t="shared" si="12"/>
        <v>0.22102438574171324</v>
      </c>
      <c r="BC163" s="92">
        <f t="shared" si="13"/>
        <v>104832.45859459371</v>
      </c>
      <c r="BD163" s="96">
        <f>((BC163)/(101325))*(1-(0.43+0.014*'Drag Polar'!$D$31)*SQRT(BB163))</f>
        <v>0.79141273930381884</v>
      </c>
      <c r="BE163" s="92"/>
      <c r="BF163" s="92"/>
      <c r="BG163" s="95">
        <f t="shared" si="14"/>
        <v>75.21398046336104</v>
      </c>
      <c r="BH163" s="96">
        <f t="shared" si="15"/>
        <v>0.22102438574171324</v>
      </c>
      <c r="BI163" s="92">
        <f t="shared" si="16"/>
        <v>104832.45859459371</v>
      </c>
      <c r="BJ163" s="96">
        <f>((BI163)/(101325))*(1-(0.43+0.014*'Drag Polar'!$D$31)*SQRT(BH163))</f>
        <v>0.79141273930381884</v>
      </c>
      <c r="BK163" s="92"/>
      <c r="BL163" s="92"/>
      <c r="BM163" s="95">
        <f t="shared" si="17"/>
        <v>67.273429269766567</v>
      </c>
      <c r="BN163" s="96">
        <f t="shared" si="18"/>
        <v>0.19769022048144241</v>
      </c>
      <c r="BO163" s="92">
        <f t="shared" si="19"/>
        <v>104124.13651132872</v>
      </c>
      <c r="BP163" s="96">
        <f>((BO163)/(101325))*(1-(0.43+0.014*'Drag Polar'!$D$31)*SQRT(BN163))</f>
        <v>0.79917204954877608</v>
      </c>
      <c r="BQ163" s="92"/>
      <c r="BR163" s="92"/>
      <c r="BS163" s="95">
        <f t="shared" si="0"/>
        <v>178.21246779186799</v>
      </c>
      <c r="BT163" s="96">
        <f t="shared" si="20"/>
        <v>0.57377042694735281</v>
      </c>
      <c r="BU163" s="92">
        <f t="shared" si="21"/>
        <v>49126.765209520127</v>
      </c>
      <c r="BV163" s="96">
        <f>((BU163)/(101325))*(1-(0.43+0.014*'Drag Polar'!$D$31)*SQRT(BT163))</f>
        <v>0.30121474178032276</v>
      </c>
      <c r="BW163" s="92"/>
      <c r="BX163" s="92"/>
      <c r="BY163" s="92"/>
    </row>
    <row r="164" spans="1:77">
      <c r="A164" s="15"/>
      <c r="B164" s="88">
        <v>6400</v>
      </c>
      <c r="C164" s="89">
        <f t="shared" si="1"/>
        <v>5379.4075927863296</v>
      </c>
      <c r="D164" s="89">
        <f t="shared" si="2"/>
        <v>5788.633461047255</v>
      </c>
      <c r="E164" s="90">
        <f>(TLAR!$B$21/$AN$96)*(('Drag Polar'!$D$39*0.5*(1.225*0.3345)*Sheet1!$C$5^2)/(TLAR!$B$21*B164)+(TLAR!$B$21*B164)/('Drag Polar'!$D$26*PI()*'Drag Polar'!$D$6*0.5*(1.225*0.3345)*Sheet1!$C$5^2))</f>
        <v>0.29195491621584241</v>
      </c>
      <c r="F164" s="90">
        <f>((TLAR!$B$21/AL164))*(SQRT(($D$47^2*(1.225*0.3345)*SQRT(Sheet1!$C$9))/((TLAR!$B$21*B164*2)))+2*SQRT(Sheet1!$C$10))</f>
        <v>0.26779313754802153</v>
      </c>
      <c r="G164" s="97">
        <f>((TLAR!$B$40)/(TLAR!$B$40-0))*(TLAR!$F$6/AR164)*((TLAR!$F$11*0.01)+2*SQRT(($D$64)/(PI()*'Drag Polar'!$D$6*$D$65)))</f>
        <v>0.1861288877304316</v>
      </c>
      <c r="H164" s="97">
        <f>((TLAR!$B$40)/(TLAR!$B$40-1))*(TLAR!$F$14/AX164)*((TLAR!$F$19*0.01)+2*SQRT(($E$64)/(PI()*'Drag Polar'!$D$6*$E$65)))</f>
        <v>0.26325292175753218</v>
      </c>
      <c r="I164" s="97">
        <f>((TLAR!$B$40)/(TLAR!$B$40-1))*(TLAR!$F$21/BD164)*((TLAR!$F$26*0.01)+2*SQRT(($F$64)/(PI()*'Drag Polar'!$D$6*$F$65)))</f>
        <v>0.28166442748428511</v>
      </c>
      <c r="J164" s="97">
        <f>((TLAR!$B$40)/(TLAR!$B$40-1))*(TLAR!$F$28/BJ164)*((TLAR!$F$33*0.01)+2*SQRT(($G$64)/(PI()*'Drag Polar'!$D$6*$G$65)))</f>
        <v>0.18765621391411014</v>
      </c>
      <c r="K164" s="97">
        <f>((TLAR!$B$40)/(TLAR!$B$40-1))*(TLAR!$F$35/BP164)*((TLAR!$F$40*0.01)+2*SQRT(($H$64)/(PI()*'Drag Polar'!$D$6*$H$65)))</f>
        <v>0.23363684229915807</v>
      </c>
      <c r="L164" s="15">
        <f>1.15*SQRT(((TLAR!$B$40)/(TLAR!$B$40-1))*((B164)/($D$73*0.85*1.225*9.81*PI()*'Drag Polar'!$E$42*'Drag Polar'!$D$6)))+((TLAR!$B$40)/(TLAR!$B$40-1))*((4*11)/($D$73))</f>
        <v>0.1901442394971441</v>
      </c>
      <c r="M164" s="15"/>
      <c r="N164" s="15"/>
      <c r="O164" s="15"/>
      <c r="P164" s="15"/>
      <c r="Q164" s="15"/>
      <c r="R164" s="15"/>
      <c r="S164" s="15"/>
      <c r="T164" s="15"/>
      <c r="U164" s="15"/>
      <c r="V164" s="15"/>
      <c r="W164" s="15"/>
      <c r="X164" s="15"/>
      <c r="Y164" s="15"/>
      <c r="Z164" s="15"/>
      <c r="AA164" s="15"/>
      <c r="AB164" s="15"/>
      <c r="AC164" s="15"/>
      <c r="AD164" s="15"/>
      <c r="AI164" s="95">
        <f t="shared" si="22"/>
        <v>179.62128392700606</v>
      </c>
      <c r="AJ164" s="96">
        <f t="shared" si="3"/>
        <v>0.57830623213182808</v>
      </c>
      <c r="AK164" s="92">
        <f t="shared" si="4"/>
        <v>49295.572497870773</v>
      </c>
      <c r="AL164" s="96">
        <f>((AK164)/(101325))*(1-(0.43+0.014*'Drag Polar'!$D$31)*SQRT(AJ164))</f>
        <v>0.30152288610790445</v>
      </c>
      <c r="AN164" s="92"/>
      <c r="AO164" s="95">
        <f t="shared" si="5"/>
        <v>67.805243310588921</v>
      </c>
      <c r="AP164" s="96">
        <f t="shared" si="6"/>
        <v>0.1992530133422569</v>
      </c>
      <c r="AQ164" s="92">
        <f t="shared" si="7"/>
        <v>104169.00740637942</v>
      </c>
      <c r="AR164" s="96">
        <f>((AQ164)/(101325))*(1-(0.43+0.014*'Drag Polar'!$D$31)*SQRT(AP164))</f>
        <v>0.79861483975378222</v>
      </c>
      <c r="AS164" s="92"/>
      <c r="AT164" s="92"/>
      <c r="AU164" s="95">
        <f t="shared" si="8"/>
        <v>75.808566636694849</v>
      </c>
      <c r="AV164" s="96">
        <f t="shared" si="9"/>
        <v>0.22277164127747945</v>
      </c>
      <c r="AW164" s="92">
        <f t="shared" si="10"/>
        <v>104888.82163392527</v>
      </c>
      <c r="AX164" s="96">
        <f>((AW164)/(101325))*(1-(0.43+0.014*'Drag Polar'!$D$31)*SQRT(AV164))</f>
        <v>0.79087832551785409</v>
      </c>
      <c r="AY164" s="92"/>
      <c r="AZ164" s="92"/>
      <c r="BA164" s="95">
        <f t="shared" si="11"/>
        <v>75.808566636694849</v>
      </c>
      <c r="BB164" s="96">
        <f t="shared" si="12"/>
        <v>0.22277164127747945</v>
      </c>
      <c r="BC164" s="92">
        <f t="shared" si="13"/>
        <v>104888.82163392527</v>
      </c>
      <c r="BD164" s="96">
        <f>((BC164)/(101325))*(1-(0.43+0.014*'Drag Polar'!$D$31)*SQRT(BB164))</f>
        <v>0.79087832551785409</v>
      </c>
      <c r="BE164" s="92"/>
      <c r="BF164" s="92"/>
      <c r="BG164" s="95">
        <f t="shared" si="14"/>
        <v>75.808566636694849</v>
      </c>
      <c r="BH164" s="96">
        <f t="shared" si="15"/>
        <v>0.22277164127747945</v>
      </c>
      <c r="BI164" s="92">
        <f t="shared" si="16"/>
        <v>104888.82163392527</v>
      </c>
      <c r="BJ164" s="96">
        <f>((BI164)/(101325))*(1-(0.43+0.014*'Drag Polar'!$D$31)*SQRT(BH164))</f>
        <v>0.79087832551785409</v>
      </c>
      <c r="BK164" s="92"/>
      <c r="BL164" s="92"/>
      <c r="BM164" s="95">
        <f t="shared" si="17"/>
        <v>67.805243310588921</v>
      </c>
      <c r="BN164" s="96">
        <f t="shared" si="18"/>
        <v>0.1992530133422569</v>
      </c>
      <c r="BO164" s="92">
        <f t="shared" si="19"/>
        <v>104169.00740637942</v>
      </c>
      <c r="BP164" s="96">
        <f>((BO164)/(101325))*(1-(0.43+0.014*'Drag Polar'!$D$31)*SQRT(BN164))</f>
        <v>0.79861483975378222</v>
      </c>
      <c r="BQ164" s="92"/>
      <c r="BR164" s="92"/>
      <c r="BS164" s="95">
        <f t="shared" si="0"/>
        <v>179.62128392700606</v>
      </c>
      <c r="BT164" s="96">
        <f t="shared" si="20"/>
        <v>0.57830623213182808</v>
      </c>
      <c r="BU164" s="92">
        <f t="shared" si="21"/>
        <v>49295.572497870773</v>
      </c>
      <c r="BV164" s="96">
        <f>((BU164)/(101325))*(1-(0.43+0.014*'Drag Polar'!$D$31)*SQRT(BT164))</f>
        <v>0.30152288610790445</v>
      </c>
      <c r="BW164" s="92"/>
      <c r="BX164" s="92"/>
      <c r="BY164" s="92"/>
    </row>
    <row r="165" spans="1:77">
      <c r="A165" s="15"/>
      <c r="B165" s="88">
        <v>6500</v>
      </c>
      <c r="C165" s="89">
        <f t="shared" ref="C165:C190" si="23">(1.225*$D$21^2*$D$16)/($D$24*2*1.23^2)</f>
        <v>5379.4075927863296</v>
      </c>
      <c r="D165" s="89">
        <f t="shared" ref="D165:D190" si="24">($D$30*$D$34*$D$16)/(2*$D$24*0.45)</f>
        <v>5788.633461047255</v>
      </c>
      <c r="E165" s="90">
        <f>(TLAR!$B$21/$AN$96)*(('Drag Polar'!$D$39*0.5*(1.225*0.3345)*Sheet1!$C$5^2)/(TLAR!$B$21*B165)+(TLAR!$B$21*B165)/('Drag Polar'!$D$26*PI()*'Drag Polar'!$D$6*0.5*(1.225*0.3345)*Sheet1!$C$5^2))</f>
        <v>0.29047399869140933</v>
      </c>
      <c r="F165" s="90">
        <f>((TLAR!$B$21/AL165))*(SQRT(($D$47^2*(1.225*0.3345)*SQRT(Sheet1!$C$9))/((TLAR!$B$21*B165*2)))+2*SQRT(Sheet1!$C$10))</f>
        <v>0.26696051037775298</v>
      </c>
      <c r="G165" s="97">
        <f>((TLAR!$B$40)/(TLAR!$B$40-0))*(TLAR!$F$6/AR165)*((TLAR!$F$11*0.01)+2*SQRT(($D$64)/(PI()*'Drag Polar'!$D$6*$D$65)))</f>
        <v>0.18625654821698873</v>
      </c>
      <c r="H165" s="97">
        <f>((TLAR!$B$40)/(TLAR!$B$40-1))*(TLAR!$F$14/AX165)*((TLAR!$F$19*0.01)+2*SQRT(($E$64)/(PI()*'Drag Polar'!$D$6*$E$65)))</f>
        <v>0.26342748761961637</v>
      </c>
      <c r="I165" s="97">
        <f>((TLAR!$B$40)/(TLAR!$B$40-1))*(TLAR!$F$21/BD165)*((TLAR!$F$26*0.01)+2*SQRT(($F$64)/(PI()*'Drag Polar'!$D$6*$F$65)))</f>
        <v>0.281851202215118</v>
      </c>
      <c r="J165" s="97">
        <f>((TLAR!$B$40)/(TLAR!$B$40-1))*(TLAR!$F$28/BJ165)*((TLAR!$F$33*0.01)+2*SQRT(($G$64)/(PI()*'Drag Polar'!$D$6*$G$65)))</f>
        <v>0.18778065078090223</v>
      </c>
      <c r="K165" s="97">
        <f>((TLAR!$B$40)/(TLAR!$B$40-1))*(TLAR!$F$35/BP165)*((TLAR!$F$40*0.01)+2*SQRT(($H$64)/(PI()*'Drag Polar'!$D$6*$H$65)))</f>
        <v>0.23379708713449376</v>
      </c>
      <c r="L165" s="15">
        <f>1.15*SQRT(((TLAR!$B$40)/(TLAR!$B$40-1))*((B165)/($D$73*0.85*1.225*9.81*PI()*'Drag Polar'!$E$42*'Drag Polar'!$D$6)))+((TLAR!$B$40)/(TLAR!$B$40-1))*((4*11)/($D$73))</f>
        <v>0.19136844798846192</v>
      </c>
      <c r="M165" s="15"/>
      <c r="N165" s="15"/>
      <c r="O165" s="15"/>
      <c r="P165" s="15"/>
      <c r="Q165" s="15"/>
      <c r="R165" s="15"/>
      <c r="S165" s="15"/>
      <c r="T165" s="15"/>
      <c r="U165" s="15"/>
      <c r="V165" s="15"/>
      <c r="W165" s="15"/>
      <c r="X165" s="15"/>
      <c r="Y165" s="15"/>
      <c r="Z165" s="15"/>
      <c r="AA165" s="15"/>
      <c r="AB165" s="15"/>
      <c r="AC165" s="15"/>
      <c r="AD165" s="15"/>
      <c r="AI165" s="95">
        <f t="shared" ref="AI165:AI189" si="25">SQRT((B165*2)/($D$55*$D$54))</f>
        <v>181.01913601247981</v>
      </c>
      <c r="AJ165" s="96">
        <f t="shared" ref="AJ165:AJ190" si="26">AI165/SQRT(($D$52*1.4*8.3145)/(0.0289645))</f>
        <v>0.58280673761177137</v>
      </c>
      <c r="AK165" s="92">
        <f t="shared" ref="AK165:AK190" si="27">$D$53*(1+0.5*(1.4-1)*AJ165^2)^3.5</f>
        <v>49464.793700278788</v>
      </c>
      <c r="AL165" s="96">
        <f>((AK165)/(101325))*(1-(0.43+0.014*'Drag Polar'!$D$31)*SQRT(AJ165))</f>
        <v>0.30183707578671548</v>
      </c>
      <c r="AN165" s="92"/>
      <c r="AO165" s="95">
        <f t="shared" ref="AO165:AO190" si="28">SQRT((B165*2)/($D$67*$D$68))</f>
        <v>68.33291853200798</v>
      </c>
      <c r="AP165" s="96">
        <f t="shared" ref="AP165:AP190" si="29">AO165/SQRT(($D$66*1.4*8.3145)/(0.0289645))</f>
        <v>0.20080364383630558</v>
      </c>
      <c r="AQ165" s="92">
        <f t="shared" ref="AQ165:AQ190" si="30">101325*(1+0.5*(1.4-1)*AP165^2)^3.5</f>
        <v>104213.89211152136</v>
      </c>
      <c r="AR165" s="96">
        <f>((AQ165)/(101325))*(1-(0.43+0.014*'Drag Polar'!$D$31)*SQRT(AP165))</f>
        <v>0.79806746807750739</v>
      </c>
      <c r="AS165" s="92"/>
      <c r="AT165" s="92"/>
      <c r="AU165" s="95">
        <f t="shared" ref="AU165:AU190" si="31">SQRT((B165*2)/($E$67*$E$68))</f>
        <v>76.398525469262495</v>
      </c>
      <c r="AV165" s="96">
        <f t="shared" ref="AV165:AV190" si="32">AU165/SQRT(($D$66*1.4*8.3145)/(0.0289645))</f>
        <v>0.22450529887381798</v>
      </c>
      <c r="AW165" s="92">
        <f t="shared" ref="AW165:AW190" si="33">101325*(1+0.5*(1.4-1)*AV165^2)^3.5</f>
        <v>104945.20631530188</v>
      </c>
      <c r="AX165" s="96">
        <f>((AW165)/(101325))*(1-(0.43+0.014*'Drag Polar'!$D$31)*SQRT(AV165))</f>
        <v>0.79035423307045904</v>
      </c>
      <c r="AY165" s="92"/>
      <c r="AZ165" s="92"/>
      <c r="BA165" s="95">
        <f t="shared" ref="BA165:BA190" si="34">SQRT((B165*2)/($E$67*$E$68))</f>
        <v>76.398525469262495</v>
      </c>
      <c r="BB165" s="96">
        <f t="shared" ref="BB165:BB190" si="35">BA165/SQRT(($D$66*1.4*8.3145)/(0.0289645))</f>
        <v>0.22450529887381798</v>
      </c>
      <c r="BC165" s="92">
        <f t="shared" ref="BC165:BC190" si="36">101325*(1+0.5*(1.4-1)*BB165^2)^3.5</f>
        <v>104945.20631530188</v>
      </c>
      <c r="BD165" s="96">
        <f>((BC165)/(101325))*(1-(0.43+0.014*'Drag Polar'!$D$31)*SQRT(BB165))</f>
        <v>0.79035423307045904</v>
      </c>
      <c r="BE165" s="92"/>
      <c r="BF165" s="92"/>
      <c r="BG165" s="95">
        <f t="shared" ref="BG165:BG190" si="37">SQRT((B165*2)/($E$67*$E$68))</f>
        <v>76.398525469262495</v>
      </c>
      <c r="BH165" s="96">
        <f t="shared" ref="BH165:BH190" si="38">BG165/SQRT(($D$66*1.4*8.3145)/(0.0289645))</f>
        <v>0.22450529887381798</v>
      </c>
      <c r="BI165" s="92">
        <f t="shared" ref="BI165:BI190" si="39">101325*(1+0.5*(1.4-1)*BH165^2)^3.5</f>
        <v>104945.20631530188</v>
      </c>
      <c r="BJ165" s="96">
        <f>((BI165)/(101325))*(1-(0.43+0.014*'Drag Polar'!$D$31)*SQRT(BH165))</f>
        <v>0.79035423307045904</v>
      </c>
      <c r="BK165" s="92"/>
      <c r="BL165" s="92"/>
      <c r="BM165" s="95">
        <f t="shared" ref="BM165:BM190" si="40">SQRT((B165*2)/($H$67*$H$68))</f>
        <v>68.33291853200798</v>
      </c>
      <c r="BN165" s="96">
        <f t="shared" ref="BN165:BN190" si="41">BM165/SQRT(($D$66*1.4*8.3145)/(0.0289645))</f>
        <v>0.20080364383630558</v>
      </c>
      <c r="BO165" s="92">
        <f t="shared" ref="BO165:BO190" si="42">101325*(1+0.5*(1.4-1)*BN165^2)^3.5</f>
        <v>104213.89211152136</v>
      </c>
      <c r="BP165" s="96">
        <f>((BO165)/(101325))*(1-(0.43+0.014*'Drag Polar'!$D$31)*SQRT(BN165))</f>
        <v>0.79806746807750739</v>
      </c>
      <c r="BQ165" s="92"/>
      <c r="BR165" s="92"/>
      <c r="BS165" s="95">
        <f t="shared" ref="BS165:BS190" si="43">SQRT((B165*2)/($D$55*$D$54))</f>
        <v>181.01913601247981</v>
      </c>
      <c r="BT165" s="96">
        <f t="shared" ref="BT165:BT190" si="44">BS165/SQRT(($D$52*1.4*8.3145)/(0.0289645))</f>
        <v>0.58280673761177137</v>
      </c>
      <c r="BU165" s="92">
        <f t="shared" ref="BU165:BU190" si="45">$D$53*(1+0.5*(1.4-1)*BT165^2)^3.5</f>
        <v>49464.793700278788</v>
      </c>
      <c r="BV165" s="96">
        <f>((BU165)/(101325))*(1-(0.43+0.014*'Drag Polar'!$D$31)*SQRT(BT165))</f>
        <v>0.30183707578671548</v>
      </c>
      <c r="BW165" s="92"/>
      <c r="BX165" s="92"/>
      <c r="BY165" s="92"/>
    </row>
    <row r="166" spans="1:77">
      <c r="A166" s="15"/>
      <c r="B166" s="88">
        <v>6600</v>
      </c>
      <c r="C166" s="89">
        <f t="shared" si="23"/>
        <v>5379.4075927863296</v>
      </c>
      <c r="D166" s="89">
        <f t="shared" si="24"/>
        <v>5788.633461047255</v>
      </c>
      <c r="E166" s="90">
        <f>(TLAR!$B$21/$AN$96)*(('Drag Polar'!$D$39*0.5*(1.225*0.3345)*Sheet1!$C$5^2)/(TLAR!$B$21*B166)+(TLAR!$B$21*B166)/('Drag Polar'!$D$26*PI()*'Drag Polar'!$D$6*0.5*(1.225*0.3345)*Sheet1!$C$5^2))</f>
        <v>0.28908392768747893</v>
      </c>
      <c r="F166" s="90">
        <f>((TLAR!$B$21/AL166))*(SQRT(($D$47^2*(1.225*0.3345)*SQRT(Sheet1!$C$9))/((TLAR!$B$21*B166*2)))+2*SQRT(Sheet1!$C$10))</f>
        <v>0.26613705003459698</v>
      </c>
      <c r="G166" s="97">
        <f>((TLAR!$B$40)/(TLAR!$B$40-0))*(TLAR!$F$6/AR166)*((TLAR!$F$11*0.01)+2*SQRT(($D$64)/(PI()*'Drag Polar'!$D$6*$D$65)))</f>
        <v>0.18638214743318055</v>
      </c>
      <c r="H166" s="97">
        <f>((TLAR!$B$40)/(TLAR!$B$40-1))*(TLAR!$F$14/AX166)*((TLAR!$F$19*0.01)+2*SQRT(($E$64)/(PI()*'Drag Polar'!$D$6*$E$65)))</f>
        <v>0.26359893468512868</v>
      </c>
      <c r="I166" s="97">
        <f>((TLAR!$B$40)/(TLAR!$B$40-1))*(TLAR!$F$21/BD166)*((TLAR!$F$26*0.01)+2*SQRT(($F$64)/(PI()*'Drag Polar'!$D$6*$F$65)))</f>
        <v>0.28203464002552864</v>
      </c>
      <c r="J166" s="97">
        <f>((TLAR!$B$40)/(TLAR!$B$40-1))*(TLAR!$F$28/BJ166)*((TLAR!$F$33*0.01)+2*SQRT(($G$64)/(PI()*'Drag Polar'!$D$6*$G$65)))</f>
        <v>0.18790286445657936</v>
      </c>
      <c r="K166" s="97">
        <f>((TLAR!$B$40)/(TLAR!$B$40-1))*(TLAR!$F$35/BP166)*((TLAR!$F$40*0.01)+2*SQRT(($H$64)/(PI()*'Drag Polar'!$D$6*$H$65)))</f>
        <v>0.23395474457619517</v>
      </c>
      <c r="L166" s="15">
        <f>1.15*SQRT(((TLAR!$B$40)/(TLAR!$B$40-1))*((B166)/($D$73*0.85*1.225*9.81*PI()*'Drag Polar'!$E$42*'Drag Polar'!$D$6)))+((TLAR!$B$40)/(TLAR!$B$40-1))*((4*11)/($D$73))</f>
        <v>0.19258327515703794</v>
      </c>
      <c r="M166" s="15"/>
      <c r="N166" s="15"/>
      <c r="O166" s="15"/>
      <c r="P166" s="15"/>
      <c r="Q166" s="15"/>
      <c r="R166" s="15"/>
      <c r="S166" s="15"/>
      <c r="T166" s="15"/>
      <c r="U166" s="15"/>
      <c r="V166" s="15"/>
      <c r="W166" s="15"/>
      <c r="X166" s="15"/>
      <c r="Y166" s="15"/>
      <c r="Z166" s="15"/>
      <c r="AA166" s="15"/>
      <c r="AB166" s="15"/>
      <c r="AC166" s="15"/>
      <c r="AD166" s="15"/>
      <c r="AI166" s="95">
        <f t="shared" si="25"/>
        <v>182.40627611412714</v>
      </c>
      <c r="AJ166" s="96">
        <f t="shared" si="26"/>
        <v>0.58727275493491116</v>
      </c>
      <c r="AK166" s="92">
        <f t="shared" si="27"/>
        <v>49634.429425095928</v>
      </c>
      <c r="AL166" s="96">
        <f>((AK166)/(101325))*(1-(0.43+0.014*'Drag Polar'!$D$31)*SQRT(AJ166))</f>
        <v>0.30215715536561982</v>
      </c>
      <c r="AN166" s="92"/>
      <c r="AO166" s="95">
        <f t="shared" si="28"/>
        <v>68.85655008636374</v>
      </c>
      <c r="AP166" s="96">
        <f t="shared" si="29"/>
        <v>0.20234239157899203</v>
      </c>
      <c r="AQ166" s="92">
        <f t="shared" si="30"/>
        <v>104258.79062930458</v>
      </c>
      <c r="AR166" s="96">
        <f>((AQ166)/(101325))*(1-(0.43+0.014*'Drag Polar'!$D$31)*SQRT(AP166))</f>
        <v>0.79752966630926314</v>
      </c>
      <c r="AS166" s="92"/>
      <c r="AT166" s="92"/>
      <c r="AU166" s="95">
        <f t="shared" si="31"/>
        <v>76.983963344614168</v>
      </c>
      <c r="AV166" s="96">
        <f t="shared" si="32"/>
        <v>0.2262256711502536</v>
      </c>
      <c r="AW166" s="92">
        <f t="shared" si="33"/>
        <v>105001.61264370877</v>
      </c>
      <c r="AX166" s="96">
        <f>((AW166)/(101325))*(1-(0.43+0.014*'Drag Polar'!$D$31)*SQRT(AV166))</f>
        <v>0.78984017972598308</v>
      </c>
      <c r="AY166" s="92"/>
      <c r="AZ166" s="92"/>
      <c r="BA166" s="95">
        <f t="shared" si="34"/>
        <v>76.983963344614168</v>
      </c>
      <c r="BB166" s="96">
        <f t="shared" si="35"/>
        <v>0.2262256711502536</v>
      </c>
      <c r="BC166" s="92">
        <f t="shared" si="36"/>
        <v>105001.61264370877</v>
      </c>
      <c r="BD166" s="96">
        <f>((BC166)/(101325))*(1-(0.43+0.014*'Drag Polar'!$D$31)*SQRT(BB166))</f>
        <v>0.78984017972598308</v>
      </c>
      <c r="BE166" s="92"/>
      <c r="BF166" s="92"/>
      <c r="BG166" s="95">
        <f t="shared" si="37"/>
        <v>76.983963344614168</v>
      </c>
      <c r="BH166" s="96">
        <f t="shared" si="38"/>
        <v>0.2262256711502536</v>
      </c>
      <c r="BI166" s="92">
        <f t="shared" si="39"/>
        <v>105001.61264370877</v>
      </c>
      <c r="BJ166" s="96">
        <f>((BI166)/(101325))*(1-(0.43+0.014*'Drag Polar'!$D$31)*SQRT(BH166))</f>
        <v>0.78984017972598308</v>
      </c>
      <c r="BK166" s="92"/>
      <c r="BL166" s="92"/>
      <c r="BM166" s="95">
        <f t="shared" si="40"/>
        <v>68.85655008636374</v>
      </c>
      <c r="BN166" s="96">
        <f t="shared" si="41"/>
        <v>0.20234239157899203</v>
      </c>
      <c r="BO166" s="92">
        <f t="shared" si="42"/>
        <v>104258.79062930458</v>
      </c>
      <c r="BP166" s="96">
        <f>((BO166)/(101325))*(1-(0.43+0.014*'Drag Polar'!$D$31)*SQRT(BN166))</f>
        <v>0.79752966630926314</v>
      </c>
      <c r="BQ166" s="92"/>
      <c r="BR166" s="92"/>
      <c r="BS166" s="95">
        <f t="shared" si="43"/>
        <v>182.40627611412714</v>
      </c>
      <c r="BT166" s="96">
        <f t="shared" si="44"/>
        <v>0.58727275493491116</v>
      </c>
      <c r="BU166" s="92">
        <f t="shared" si="45"/>
        <v>49634.429425095928</v>
      </c>
      <c r="BV166" s="96">
        <f>((BU166)/(101325))*(1-(0.43+0.014*'Drag Polar'!$D$31)*SQRT(BT166))</f>
        <v>0.30215715536561982</v>
      </c>
      <c r="BW166" s="92"/>
      <c r="BX166" s="92"/>
      <c r="BY166" s="92"/>
    </row>
    <row r="167" spans="1:77">
      <c r="A167" s="15"/>
      <c r="B167" s="88">
        <v>6700</v>
      </c>
      <c r="C167" s="89">
        <f t="shared" si="23"/>
        <v>5379.4075927863296</v>
      </c>
      <c r="D167" s="89">
        <f t="shared" si="24"/>
        <v>5788.633461047255</v>
      </c>
      <c r="E167" s="90">
        <f>(TLAR!$B$21/$AN$96)*(('Drag Polar'!$D$39*0.5*(1.225*0.3345)*Sheet1!$C$5^2)/(TLAR!$B$21*B167)+(TLAR!$B$21*B167)/('Drag Polar'!$D$26*PI()*'Drag Polar'!$D$6*0.5*(1.225*0.3345)*Sheet1!$C$5^2))</f>
        <v>0.28778063544940163</v>
      </c>
      <c r="F167" s="90">
        <f>((TLAR!$B$21/AL167))*(SQRT(($D$47^2*(1.225*0.3345)*SQRT(Sheet1!$C$9))/((TLAR!$B$21*B167*2)))+2*SQRT(Sheet1!$C$10))</f>
        <v>0.26532243367630359</v>
      </c>
      <c r="G167" s="97">
        <f>((TLAR!$B$40)/(TLAR!$B$40-0))*(TLAR!$F$6/AR167)*((TLAR!$F$11*0.01)+2*SQRT(($D$64)/(PI()*'Drag Polar'!$D$6*$D$65)))</f>
        <v>0.18650573682706631</v>
      </c>
      <c r="H167" s="97">
        <f>((TLAR!$B$40)/(TLAR!$B$40-1))*(TLAR!$F$14/AX167)*((TLAR!$F$19*0.01)+2*SQRT(($E$64)/(PI()*'Drag Polar'!$D$6*$E$65)))</f>
        <v>0.26376734069051505</v>
      </c>
      <c r="I167" s="97">
        <f>((TLAR!$B$40)/(TLAR!$B$40-1))*(TLAR!$F$21/BD167)*((TLAR!$F$26*0.01)+2*SQRT(($F$64)/(PI()*'Drag Polar'!$D$6*$F$65)))</f>
        <v>0.28221482408873055</v>
      </c>
      <c r="J167" s="97">
        <f>((TLAR!$B$40)/(TLAR!$B$40-1))*(TLAR!$F$28/BJ167)*((TLAR!$F$33*0.01)+2*SQRT(($G$64)/(PI()*'Drag Polar'!$D$6*$G$65)))</f>
        <v>0.18802291035449462</v>
      </c>
      <c r="K167" s="97">
        <f>((TLAR!$B$40)/(TLAR!$B$40-1))*(TLAR!$F$35/BP167)*((TLAR!$F$40*0.01)+2*SQRT(($H$64)/(PI()*'Drag Polar'!$D$6*$H$65)))</f>
        <v>0.2341098792040395</v>
      </c>
      <c r="L167" s="15">
        <f>1.15*SQRT(((TLAR!$B$40)/(TLAR!$B$40-1))*((B167)/($D$73*0.85*1.225*9.81*PI()*'Drag Polar'!$E$42*'Drag Polar'!$D$6)))+((TLAR!$B$40)/(TLAR!$B$40-1))*((4*11)/($D$73))</f>
        <v>0.19378893342547937</v>
      </c>
      <c r="M167" s="15"/>
      <c r="N167" s="15"/>
      <c r="O167" s="15"/>
      <c r="P167" s="15"/>
      <c r="Q167" s="15"/>
      <c r="R167" s="15"/>
      <c r="S167" s="15"/>
      <c r="T167" s="15"/>
      <c r="U167" s="15"/>
      <c r="V167" s="15"/>
      <c r="W167" s="15"/>
      <c r="X167" s="15"/>
      <c r="Y167" s="15"/>
      <c r="Z167" s="15"/>
      <c r="AA167" s="15"/>
      <c r="AB167" s="15"/>
      <c r="AC167" s="15"/>
      <c r="AD167" s="15"/>
      <c r="AI167" s="95">
        <f t="shared" si="25"/>
        <v>183.78294678490093</v>
      </c>
      <c r="AJ167" s="96">
        <f t="shared" si="26"/>
        <v>0.59170506502142139</v>
      </c>
      <c r="AK167" s="92">
        <f t="shared" si="27"/>
        <v>49804.480280971846</v>
      </c>
      <c r="AL167" s="96">
        <f>((AK167)/(101325))*(1-(0.43+0.014*'Drag Polar'!$D$31)*SQRT(AJ167))</f>
        <v>0.30248297614991332</v>
      </c>
      <c r="AN167" s="92"/>
      <c r="AO167" s="95">
        <f t="shared" si="28"/>
        <v>69.376229534976858</v>
      </c>
      <c r="AP167" s="96">
        <f t="shared" si="29"/>
        <v>0.20386952563312255</v>
      </c>
      <c r="AQ167" s="92">
        <f t="shared" si="30"/>
        <v>104303.70296227904</v>
      </c>
      <c r="AR167" s="96">
        <f>((AQ167)/(101325))*(1-(0.43+0.014*'Drag Polar'!$D$31)*SQRT(AP167))</f>
        <v>0.79700117742874965</v>
      </c>
      <c r="AS167" s="92"/>
      <c r="AT167" s="92"/>
      <c r="AU167" s="95">
        <f t="shared" si="31"/>
        <v>77.564982631418431</v>
      </c>
      <c r="AV167" s="96">
        <f t="shared" si="32"/>
        <v>0.22793305892814894</v>
      </c>
      <c r="AW167" s="92">
        <f t="shared" si="33"/>
        <v>105058.04062413158</v>
      </c>
      <c r="AX167" s="96">
        <f>((AW167)/(101325))*(1-(0.43+0.014*'Drag Polar'!$D$31)*SQRT(AV167))</f>
        <v>0.7893358950438345</v>
      </c>
      <c r="AY167" s="92"/>
      <c r="AZ167" s="92"/>
      <c r="BA167" s="95">
        <f t="shared" si="34"/>
        <v>77.564982631418431</v>
      </c>
      <c r="BB167" s="96">
        <f t="shared" si="35"/>
        <v>0.22793305892814894</v>
      </c>
      <c r="BC167" s="92">
        <f t="shared" si="36"/>
        <v>105058.04062413158</v>
      </c>
      <c r="BD167" s="96">
        <f>((BC167)/(101325))*(1-(0.43+0.014*'Drag Polar'!$D$31)*SQRT(BB167))</f>
        <v>0.7893358950438345</v>
      </c>
      <c r="BE167" s="92"/>
      <c r="BF167" s="92"/>
      <c r="BG167" s="95">
        <f t="shared" si="37"/>
        <v>77.564982631418431</v>
      </c>
      <c r="BH167" s="96">
        <f t="shared" si="38"/>
        <v>0.22793305892814894</v>
      </c>
      <c r="BI167" s="92">
        <f t="shared" si="39"/>
        <v>105058.04062413158</v>
      </c>
      <c r="BJ167" s="96">
        <f>((BI167)/(101325))*(1-(0.43+0.014*'Drag Polar'!$D$31)*SQRT(BH167))</f>
        <v>0.7893358950438345</v>
      </c>
      <c r="BK167" s="92"/>
      <c r="BL167" s="92"/>
      <c r="BM167" s="95">
        <f t="shared" si="40"/>
        <v>69.376229534976858</v>
      </c>
      <c r="BN167" s="96">
        <f t="shared" si="41"/>
        <v>0.20386952563312255</v>
      </c>
      <c r="BO167" s="92">
        <f t="shared" si="42"/>
        <v>104303.70296227904</v>
      </c>
      <c r="BP167" s="96">
        <f>((BO167)/(101325))*(1-(0.43+0.014*'Drag Polar'!$D$31)*SQRT(BN167))</f>
        <v>0.79700117742874965</v>
      </c>
      <c r="BQ167" s="92"/>
      <c r="BR167" s="92"/>
      <c r="BS167" s="95">
        <f t="shared" si="43"/>
        <v>183.78294678490093</v>
      </c>
      <c r="BT167" s="96">
        <f t="shared" si="44"/>
        <v>0.59170506502142139</v>
      </c>
      <c r="BU167" s="92">
        <f t="shared" si="45"/>
        <v>49804.480280971846</v>
      </c>
      <c r="BV167" s="96">
        <f>((BU167)/(101325))*(1-(0.43+0.014*'Drag Polar'!$D$31)*SQRT(BT167))</f>
        <v>0.30248297614991332</v>
      </c>
      <c r="BW167" s="92"/>
      <c r="BX167" s="92"/>
      <c r="BY167" s="92"/>
    </row>
    <row r="168" spans="1:77">
      <c r="A168" s="15"/>
      <c r="B168" s="88">
        <v>6800</v>
      </c>
      <c r="C168" s="89">
        <f t="shared" si="23"/>
        <v>5379.4075927863296</v>
      </c>
      <c r="D168" s="89">
        <f t="shared" si="24"/>
        <v>5788.633461047255</v>
      </c>
      <c r="E168" s="90">
        <f>(TLAR!$B$21/$AN$96)*(('Drag Polar'!$D$39*0.5*(1.225*0.3345)*Sheet1!$C$5^2)/(TLAR!$B$21*B168)+(TLAR!$B$21*B168)/('Drag Polar'!$D$26*PI()*'Drag Polar'!$D$6*0.5*(1.225*0.3345)*Sheet1!$C$5^2))</f>
        <v>0.28656029350221351</v>
      </c>
      <c r="F168" s="90">
        <f>((TLAR!$B$21/AL168))*(SQRT(($D$47^2*(1.225*0.3345)*SQRT(Sheet1!$C$9))/((TLAR!$B$21*B168*2)))+2*SQRT(Sheet1!$C$10))</f>
        <v>0.26451635602998047</v>
      </c>
      <c r="G168" s="97">
        <f>((TLAR!$B$40)/(TLAR!$B$40-0))*(TLAR!$F$6/AR168)*((TLAR!$F$11*0.01)+2*SQRT(($D$64)/(PI()*'Drag Polar'!$D$6*$D$65)))</f>
        <v>0.18662736581068046</v>
      </c>
      <c r="H168" s="97">
        <f>((TLAR!$B$40)/(TLAR!$B$40-1))*(TLAR!$F$14/AX168)*((TLAR!$F$19*0.01)+2*SQRT(($E$64)/(PI()*'Drag Polar'!$D$6*$E$65)))</f>
        <v>0.26393278030611633</v>
      </c>
      <c r="I168" s="97">
        <f>((TLAR!$B$40)/(TLAR!$B$40-1))*(TLAR!$F$21/BD168)*((TLAR!$F$26*0.01)+2*SQRT(($F$64)/(PI()*'Drag Polar'!$D$6*$F$65)))</f>
        <v>0.28239183429739401</v>
      </c>
      <c r="J168" s="97">
        <f>((TLAR!$B$40)/(TLAR!$B$40-1))*(TLAR!$F$28/BJ168)*((TLAR!$F$33*0.01)+2*SQRT(($G$64)/(PI()*'Drag Polar'!$D$6*$G$65)))</f>
        <v>0.18814084170237058</v>
      </c>
      <c r="K168" s="97">
        <f>((TLAR!$B$40)/(TLAR!$B$40-1))*(TLAR!$F$35/BP168)*((TLAR!$F$40*0.01)+2*SQRT(($H$64)/(PI()*'Drag Polar'!$D$6*$H$65)))</f>
        <v>0.23426255304209956</v>
      </c>
      <c r="L168" s="15">
        <f>1.15*SQRT(((TLAR!$B$40)/(TLAR!$B$40-1))*((B168)/($D$73*0.85*1.225*9.81*PI()*'Drag Polar'!$E$42*'Drag Polar'!$D$6)))+((TLAR!$B$40)/(TLAR!$B$40-1))*((4*11)/($D$73))</f>
        <v>0.19498562731886343</v>
      </c>
      <c r="M168" s="15"/>
      <c r="N168" s="15"/>
      <c r="O168" s="15"/>
      <c r="P168" s="15"/>
      <c r="Q168" s="15"/>
      <c r="R168" s="15"/>
      <c r="S168" s="15"/>
      <c r="T168" s="15"/>
      <c r="U168" s="15"/>
      <c r="V168" s="15"/>
      <c r="W168" s="15"/>
      <c r="X168" s="15"/>
      <c r="Y168" s="15"/>
      <c r="Z168" s="15"/>
      <c r="AA168" s="15"/>
      <c r="AB168" s="15"/>
      <c r="AC168" s="15"/>
      <c r="AD168" s="15"/>
      <c r="AI168" s="95">
        <f t="shared" si="25"/>
        <v>185.14938156002643</v>
      </c>
      <c r="AJ168" s="96">
        <f t="shared" si="26"/>
        <v>0.59610441975812323</v>
      </c>
      <c r="AK168" s="92">
        <f t="shared" si="27"/>
        <v>49974.946876853661</v>
      </c>
      <c r="AL168" s="96">
        <f>((AK168)/(101325))*(1-(0.43+0.014*'Drag Polar'!$D$31)*SQRT(AJ168))</f>
        <v>0.3028143958155301</v>
      </c>
      <c r="AN168" s="92"/>
      <c r="AO168" s="95">
        <f t="shared" si="28"/>
        <v>69.892045035065848</v>
      </c>
      <c r="AP168" s="96">
        <f t="shared" si="29"/>
        <v>0.2053853050581825</v>
      </c>
      <c r="AQ168" s="92">
        <f t="shared" si="30"/>
        <v>104348.62911299511</v>
      </c>
      <c r="AR168" s="96">
        <f>((AQ168)/(101325))*(1-(0.43+0.014*'Drag Polar'!$D$31)*SQRT(AP168))</f>
        <v>0.79648175498108864</v>
      </c>
      <c r="AS168" s="92"/>
      <c r="AT168" s="92"/>
      <c r="AU168" s="95">
        <f t="shared" si="31"/>
        <v>78.141681892441952</v>
      </c>
      <c r="AV168" s="96">
        <f t="shared" si="32"/>
        <v>0.22962775184481374</v>
      </c>
      <c r="AW168" s="92">
        <f t="shared" si="33"/>
        <v>105114.49026155623</v>
      </c>
      <c r="AX168" s="96">
        <f>((AW168)/(101325))*(1-(0.43+0.014*'Drag Polar'!$D$31)*SQRT(AV168))</f>
        <v>0.78884111971920479</v>
      </c>
      <c r="AY168" s="92"/>
      <c r="AZ168" s="92"/>
      <c r="BA168" s="95">
        <f t="shared" si="34"/>
        <v>78.141681892441952</v>
      </c>
      <c r="BB168" s="96">
        <f t="shared" si="35"/>
        <v>0.22962775184481374</v>
      </c>
      <c r="BC168" s="92">
        <f t="shared" si="36"/>
        <v>105114.49026155623</v>
      </c>
      <c r="BD168" s="96">
        <f>((BC168)/(101325))*(1-(0.43+0.014*'Drag Polar'!$D$31)*SQRT(BB168))</f>
        <v>0.78884111971920479</v>
      </c>
      <c r="BE168" s="92"/>
      <c r="BF168" s="92"/>
      <c r="BG168" s="95">
        <f t="shared" si="37"/>
        <v>78.141681892441952</v>
      </c>
      <c r="BH168" s="96">
        <f t="shared" si="38"/>
        <v>0.22962775184481374</v>
      </c>
      <c r="BI168" s="92">
        <f t="shared" si="39"/>
        <v>105114.49026155623</v>
      </c>
      <c r="BJ168" s="96">
        <f>((BI168)/(101325))*(1-(0.43+0.014*'Drag Polar'!$D$31)*SQRT(BH168))</f>
        <v>0.78884111971920479</v>
      </c>
      <c r="BK168" s="92"/>
      <c r="BL168" s="92"/>
      <c r="BM168" s="95">
        <f t="shared" si="40"/>
        <v>69.892045035065848</v>
      </c>
      <c r="BN168" s="96">
        <f t="shared" si="41"/>
        <v>0.2053853050581825</v>
      </c>
      <c r="BO168" s="92">
        <f t="shared" si="42"/>
        <v>104348.62911299511</v>
      </c>
      <c r="BP168" s="96">
        <f>((BO168)/(101325))*(1-(0.43+0.014*'Drag Polar'!$D$31)*SQRT(BN168))</f>
        <v>0.79648175498108864</v>
      </c>
      <c r="BQ168" s="92"/>
      <c r="BR168" s="92"/>
      <c r="BS168" s="95">
        <f t="shared" si="43"/>
        <v>185.14938156002643</v>
      </c>
      <c r="BT168" s="96">
        <f t="shared" si="44"/>
        <v>0.59610441975812323</v>
      </c>
      <c r="BU168" s="92">
        <f t="shared" si="45"/>
        <v>49974.946876853661</v>
      </c>
      <c r="BV168" s="96">
        <f>((BU168)/(101325))*(1-(0.43+0.014*'Drag Polar'!$D$31)*SQRT(BT168))</f>
        <v>0.3028143958155301</v>
      </c>
      <c r="BW168" s="92"/>
      <c r="BX168" s="92"/>
      <c r="BY168" s="92"/>
    </row>
    <row r="169" spans="1:77">
      <c r="A169" s="15"/>
      <c r="B169" s="88">
        <v>6900</v>
      </c>
      <c r="C169" s="89">
        <f t="shared" si="23"/>
        <v>5379.4075927863296</v>
      </c>
      <c r="D169" s="89">
        <f t="shared" si="24"/>
        <v>5788.633461047255</v>
      </c>
      <c r="E169" s="90">
        <f>(TLAR!$B$21/$AN$96)*(('Drag Polar'!$D$39*0.5*(1.225*0.3345)*Sheet1!$C$5^2)/(TLAR!$B$21*B169)+(TLAR!$B$21*B169)/('Drag Polar'!$D$26*PI()*'Drag Polar'!$D$6*0.5*(1.225*0.3345)*Sheet1!$C$5^2))</f>
        <v>0.2854192953115281</v>
      </c>
      <c r="F169" s="90">
        <f>((TLAR!$B$21/AL169))*(SQRT(($D$47^2*(1.225*0.3345)*SQRT(Sheet1!$C$9))/((TLAR!$B$21*B169*2)))+2*SQRT(Sheet1!$C$10))</f>
        <v>0.26371852819960301</v>
      </c>
      <c r="G169" s="97">
        <f>((TLAR!$B$40)/(TLAR!$B$40-0))*(TLAR!$F$6/AR169)*((TLAR!$F$11*0.01)+2*SQRT(($D$64)/(PI()*'Drag Polar'!$D$6*$D$65)))</f>
        <v>0.1867470818696349</v>
      </c>
      <c r="H169" s="97">
        <f>((TLAR!$B$40)/(TLAR!$B$40-1))*(TLAR!$F$14/AX169)*((TLAR!$F$19*0.01)+2*SQRT(($E$64)/(PI()*'Drag Polar'!$D$6*$E$65)))</f>
        <v>0.26409532530092023</v>
      </c>
      <c r="I169" s="97">
        <f>((TLAR!$B$40)/(TLAR!$B$40-1))*(TLAR!$F$21/BD169)*((TLAR!$F$26*0.01)+2*SQRT(($F$64)/(PI()*'Drag Polar'!$D$6*$F$65)))</f>
        <v>0.28256574743991952</v>
      </c>
      <c r="J169" s="97">
        <f>((TLAR!$B$40)/(TLAR!$B$40-1))*(TLAR!$F$28/BJ169)*((TLAR!$F$33*0.01)+2*SQRT(($G$64)/(PI()*'Drag Polar'!$D$6*$G$65)))</f>
        <v>0.18825670965974003</v>
      </c>
      <c r="K169" s="97">
        <f>((TLAR!$B$40)/(TLAR!$B$40-1))*(TLAR!$F$35/BP169)*((TLAR!$F$40*0.01)+2*SQRT(($H$64)/(PI()*'Drag Polar'!$D$6*$H$65)))</f>
        <v>0.23441282569632144</v>
      </c>
      <c r="L169" s="15">
        <f>1.15*SQRT(((TLAR!$B$40)/(TLAR!$B$40-1))*((B169)/($D$73*0.85*1.225*9.81*PI()*'Drag Polar'!$E$42*'Drag Polar'!$D$6)))+((TLAR!$B$40)/(TLAR!$B$40-1))*((4*11)/($D$73))</f>
        <v>0.19617355386978944</v>
      </c>
      <c r="M169" s="15"/>
      <c r="N169" s="15"/>
      <c r="O169" s="15"/>
      <c r="P169" s="15"/>
      <c r="Q169" s="15"/>
      <c r="R169" s="15"/>
      <c r="S169" s="15"/>
      <c r="T169" s="15"/>
      <c r="U169" s="15"/>
      <c r="V169" s="15"/>
      <c r="W169" s="15"/>
      <c r="X169" s="15"/>
      <c r="Y169" s="15"/>
      <c r="Z169" s="15"/>
      <c r="AA169" s="15"/>
      <c r="AB169" s="15"/>
      <c r="AC169" s="15"/>
      <c r="AD169" s="15"/>
      <c r="AI169" s="95">
        <f t="shared" si="25"/>
        <v>186.5058054195064</v>
      </c>
      <c r="AJ169" s="96">
        <f t="shared" si="26"/>
        <v>0.60047154348756027</v>
      </c>
      <c r="AK169" s="92">
        <f t="shared" si="27"/>
        <v>50145.829821986095</v>
      </c>
      <c r="AL169" s="96">
        <f>((AK169)/(101325))*(1-(0.43+0.014*'Drag Polar'!$D$31)*SQRT(AJ169))</f>
        <v>0.30315127805046926</v>
      </c>
      <c r="AN169" s="92"/>
      <c r="AO169" s="95">
        <f t="shared" si="28"/>
        <v>70.404081514338003</v>
      </c>
      <c r="AP169" s="96">
        <f t="shared" si="29"/>
        <v>0.20688997942339055</v>
      </c>
      <c r="AQ169" s="92">
        <f t="shared" si="30"/>
        <v>104393.56908400303</v>
      </c>
      <c r="AR169" s="96">
        <f>((AQ169)/(101325))*(1-(0.43+0.014*'Drag Polar'!$D$31)*SQRT(AP169))</f>
        <v>0.79597116249535427</v>
      </c>
      <c r="AS169" s="92"/>
      <c r="AT169" s="92"/>
      <c r="AU169" s="95">
        <f t="shared" si="31"/>
        <v>78.714156079748051</v>
      </c>
      <c r="AV169" s="96">
        <f t="shared" si="32"/>
        <v>0.231310028927117</v>
      </c>
      <c r="AW169" s="92">
        <f t="shared" si="33"/>
        <v>105170.96156096927</v>
      </c>
      <c r="AX169" s="96">
        <f>((AW169)/(101325))*(1-(0.43+0.014*'Drag Polar'!$D$31)*SQRT(AV169))</f>
        <v>0.78835560496971135</v>
      </c>
      <c r="AY169" s="92"/>
      <c r="AZ169" s="92"/>
      <c r="BA169" s="95">
        <f t="shared" si="34"/>
        <v>78.714156079748051</v>
      </c>
      <c r="BB169" s="96">
        <f t="shared" si="35"/>
        <v>0.231310028927117</v>
      </c>
      <c r="BC169" s="92">
        <f t="shared" si="36"/>
        <v>105170.96156096927</v>
      </c>
      <c r="BD169" s="96">
        <f>((BC169)/(101325))*(1-(0.43+0.014*'Drag Polar'!$D$31)*SQRT(BB169))</f>
        <v>0.78835560496971135</v>
      </c>
      <c r="BE169" s="92"/>
      <c r="BF169" s="92"/>
      <c r="BG169" s="95">
        <f t="shared" si="37"/>
        <v>78.714156079748051</v>
      </c>
      <c r="BH169" s="96">
        <f t="shared" si="38"/>
        <v>0.231310028927117</v>
      </c>
      <c r="BI169" s="92">
        <f t="shared" si="39"/>
        <v>105170.96156096927</v>
      </c>
      <c r="BJ169" s="96">
        <f>((BI169)/(101325))*(1-(0.43+0.014*'Drag Polar'!$D$31)*SQRT(BH169))</f>
        <v>0.78835560496971135</v>
      </c>
      <c r="BK169" s="92"/>
      <c r="BL169" s="92"/>
      <c r="BM169" s="95">
        <f t="shared" si="40"/>
        <v>70.404081514338003</v>
      </c>
      <c r="BN169" s="96">
        <f t="shared" si="41"/>
        <v>0.20688997942339055</v>
      </c>
      <c r="BO169" s="92">
        <f t="shared" si="42"/>
        <v>104393.56908400303</v>
      </c>
      <c r="BP169" s="96">
        <f>((BO169)/(101325))*(1-(0.43+0.014*'Drag Polar'!$D$31)*SQRT(BN169))</f>
        <v>0.79597116249535427</v>
      </c>
      <c r="BQ169" s="92"/>
      <c r="BR169" s="92"/>
      <c r="BS169" s="95">
        <f t="shared" si="43"/>
        <v>186.5058054195064</v>
      </c>
      <c r="BT169" s="96">
        <f t="shared" si="44"/>
        <v>0.60047154348756027</v>
      </c>
      <c r="BU169" s="92">
        <f t="shared" si="45"/>
        <v>50145.829821986095</v>
      </c>
      <c r="BV169" s="96">
        <f>((BU169)/(101325))*(1-(0.43+0.014*'Drag Polar'!$D$31)*SQRT(BT169))</f>
        <v>0.30315127805046926</v>
      </c>
      <c r="BW169" s="92"/>
      <c r="BX169" s="92"/>
      <c r="BY169" s="92"/>
    </row>
    <row r="170" spans="1:77">
      <c r="A170" s="15"/>
      <c r="B170" s="88">
        <v>7000</v>
      </c>
      <c r="C170" s="89">
        <f t="shared" si="23"/>
        <v>5379.4075927863296</v>
      </c>
      <c r="D170" s="89">
        <f t="shared" si="24"/>
        <v>5788.633461047255</v>
      </c>
      <c r="E170" s="90">
        <f>(TLAR!$B$21/$AN$96)*(('Drag Polar'!$D$39*0.5*(1.225*0.3345)*Sheet1!$C$5^2)/(TLAR!$B$21*B170)+(TLAR!$B$21*B170)/('Drag Polar'!$D$26*PI()*'Drag Polar'!$D$6*0.5*(1.225*0.3345)*Sheet1!$C$5^2))</f>
        <v>0.28435424043063795</v>
      </c>
      <c r="F170" s="90">
        <f>((TLAR!$B$21/AL170))*(SQRT(($D$47^2*(1.225*0.3345)*SQRT(Sheet1!$C$9))/((TLAR!$B$21*B170*2)))+2*SQRT(Sheet1!$C$10))</f>
        <v>0.2629286765696412</v>
      </c>
      <c r="G170" s="97">
        <f>((TLAR!$B$40)/(TLAR!$B$40-0))*(TLAR!$F$6/AR170)*((TLAR!$F$11*0.01)+2*SQRT(($D$64)/(PI()*'Drag Polar'!$D$6*$D$65)))</f>
        <v>0.18686493066531229</v>
      </c>
      <c r="H170" s="97">
        <f>((TLAR!$B$40)/(TLAR!$B$40-1))*(TLAR!$F$14/AX170)*((TLAR!$F$19*0.01)+2*SQRT(($E$64)/(PI()*'Drag Polar'!$D$6*$E$65)))</f>
        <v>0.26425504469619199</v>
      </c>
      <c r="I170" s="97">
        <f>((TLAR!$B$40)/(TLAR!$B$40-1))*(TLAR!$F$21/BD170)*((TLAR!$F$26*0.01)+2*SQRT(($F$64)/(PI()*'Drag Polar'!$D$6*$F$65)))</f>
        <v>0.2827366373648138</v>
      </c>
      <c r="J170" s="97">
        <f>((TLAR!$B$40)/(TLAR!$B$40-1))*(TLAR!$F$28/BJ170)*((TLAR!$F$33*0.01)+2*SQRT(($G$64)/(PI()*'Drag Polar'!$D$6*$G$65)))</f>
        <v>0.18837056342745984</v>
      </c>
      <c r="K170" s="97">
        <f>((TLAR!$B$40)/(TLAR!$B$40-1))*(TLAR!$F$35/BP170)*((TLAR!$F$40*0.01)+2*SQRT(($H$64)/(PI()*'Drag Polar'!$D$6*$H$65)))</f>
        <v>0.23456075448280139</v>
      </c>
      <c r="L170" s="15">
        <f>1.15*SQRT(((TLAR!$B$40)/(TLAR!$B$40-1))*((B170)/($D$73*0.85*1.225*9.81*PI()*'Drag Polar'!$E$42*'Drag Polar'!$D$6)))+((TLAR!$B$40)/(TLAR!$B$40-1))*((4*11)/($D$73))</f>
        <v>0.19735290299710523</v>
      </c>
      <c r="M170" s="15"/>
      <c r="N170" s="15"/>
      <c r="O170" s="15"/>
      <c r="P170" s="15"/>
      <c r="Q170" s="15"/>
      <c r="R170" s="15"/>
      <c r="S170" s="15"/>
      <c r="T170" s="15"/>
      <c r="U170" s="15"/>
      <c r="V170" s="15"/>
      <c r="W170" s="15"/>
      <c r="X170" s="15"/>
      <c r="Y170" s="15"/>
      <c r="Z170" s="15"/>
      <c r="AA170" s="15"/>
      <c r="AB170" s="15"/>
      <c r="AC170" s="15"/>
      <c r="AD170" s="15"/>
      <c r="AI170" s="95">
        <f t="shared" si="25"/>
        <v>187.852435220567</v>
      </c>
      <c r="AJ170" s="96">
        <f t="shared" si="26"/>
        <v>0.60480713440029565</v>
      </c>
      <c r="AK170" s="92">
        <f t="shared" si="27"/>
        <v>50317.129725911029</v>
      </c>
      <c r="AL170" s="96">
        <f>((AK170)/(101325))*(1-(0.43+0.014*'Drag Polar'!$D$31)*SQRT(AJ170))</f>
        <v>0.30349349222115501</v>
      </c>
      <c r="AN170" s="92"/>
      <c r="AO170" s="95">
        <f t="shared" si="28"/>
        <v>70.912420834233458</v>
      </c>
      <c r="AP170" s="96">
        <f t="shared" si="29"/>
        <v>0.20838378928740892</v>
      </c>
      <c r="AQ170" s="92">
        <f t="shared" si="30"/>
        <v>104438.52287785342</v>
      </c>
      <c r="AR170" s="96">
        <f>((AQ170)/(101325))*(1-(0.43+0.014*'Drag Polar'!$D$31)*SQRT(AP170))</f>
        <v>0.79546917294300734</v>
      </c>
      <c r="AS170" s="92"/>
      <c r="AT170" s="92"/>
      <c r="AU170" s="95">
        <f t="shared" si="31"/>
        <v>79.282496717209185</v>
      </c>
      <c r="AV170" s="96">
        <f t="shared" si="32"/>
        <v>0.23298015912781941</v>
      </c>
      <c r="AW170" s="92">
        <f t="shared" si="33"/>
        <v>105227.45452735743</v>
      </c>
      <c r="AX170" s="96">
        <f>((AW170)/(101325))*(1-(0.43+0.014*'Drag Polar'!$D$31)*SQRT(AV170))</f>
        <v>0.7878791119641394</v>
      </c>
      <c r="AY170" s="92"/>
      <c r="AZ170" s="92"/>
      <c r="BA170" s="95">
        <f t="shared" si="34"/>
        <v>79.282496717209185</v>
      </c>
      <c r="BB170" s="96">
        <f t="shared" si="35"/>
        <v>0.23298015912781941</v>
      </c>
      <c r="BC170" s="92">
        <f t="shared" si="36"/>
        <v>105227.45452735743</v>
      </c>
      <c r="BD170" s="96">
        <f>((BC170)/(101325))*(1-(0.43+0.014*'Drag Polar'!$D$31)*SQRT(BB170))</f>
        <v>0.7878791119641394</v>
      </c>
      <c r="BE170" s="92"/>
      <c r="BF170" s="92"/>
      <c r="BG170" s="95">
        <f t="shared" si="37"/>
        <v>79.282496717209185</v>
      </c>
      <c r="BH170" s="96">
        <f t="shared" si="38"/>
        <v>0.23298015912781941</v>
      </c>
      <c r="BI170" s="92">
        <f t="shared" si="39"/>
        <v>105227.45452735743</v>
      </c>
      <c r="BJ170" s="96">
        <f>((BI170)/(101325))*(1-(0.43+0.014*'Drag Polar'!$D$31)*SQRT(BH170))</f>
        <v>0.7878791119641394</v>
      </c>
      <c r="BK170" s="92"/>
      <c r="BL170" s="92"/>
      <c r="BM170" s="95">
        <f t="shared" si="40"/>
        <v>70.912420834233458</v>
      </c>
      <c r="BN170" s="96">
        <f t="shared" si="41"/>
        <v>0.20838378928740892</v>
      </c>
      <c r="BO170" s="92">
        <f t="shared" si="42"/>
        <v>104438.52287785342</v>
      </c>
      <c r="BP170" s="96">
        <f>((BO170)/(101325))*(1-(0.43+0.014*'Drag Polar'!$D$31)*SQRT(BN170))</f>
        <v>0.79546917294300734</v>
      </c>
      <c r="BQ170" s="92"/>
      <c r="BR170" s="92"/>
      <c r="BS170" s="95">
        <f t="shared" si="43"/>
        <v>187.852435220567</v>
      </c>
      <c r="BT170" s="96">
        <f t="shared" si="44"/>
        <v>0.60480713440029565</v>
      </c>
      <c r="BU170" s="92">
        <f t="shared" si="45"/>
        <v>50317.129725911029</v>
      </c>
      <c r="BV170" s="96">
        <f>((BU170)/(101325))*(1-(0.43+0.014*'Drag Polar'!$D$31)*SQRT(BT170))</f>
        <v>0.30349349222115501</v>
      </c>
      <c r="BW170" s="92"/>
      <c r="BX170" s="92"/>
      <c r="BY170" s="92"/>
    </row>
    <row r="171" spans="1:77">
      <c r="A171" s="15"/>
      <c r="B171" s="88">
        <v>7100</v>
      </c>
      <c r="C171" s="89">
        <f t="shared" si="23"/>
        <v>5379.4075927863296</v>
      </c>
      <c r="D171" s="89">
        <f t="shared" si="24"/>
        <v>5788.633461047255</v>
      </c>
      <c r="E171" s="90">
        <f>(TLAR!$B$21/$AN$96)*(('Drag Polar'!$D$39*0.5*(1.225*0.3345)*Sheet1!$C$5^2)/(TLAR!$B$21*B171)+(TLAR!$B$21*B171)/('Drag Polar'!$D$26*PI()*'Drag Polar'!$D$6*0.5*(1.225*0.3345)*Sheet1!$C$5^2))</f>
        <v>0.28336191998729837</v>
      </c>
      <c r="F171" s="90">
        <f>((TLAR!$B$21/AL171))*(SQRT(($D$47^2*(1.225*0.3345)*SQRT(Sheet1!$C$9))/((TLAR!$B$21*B171*2)))+2*SQRT(Sheet1!$C$10))</f>
        <v>0.26214654179583996</v>
      </c>
      <c r="G171" s="97">
        <f>((TLAR!$B$40)/(TLAR!$B$40-0))*(TLAR!$F$6/AR171)*((TLAR!$F$11*0.01)+2*SQRT(($D$64)/(PI()*'Drag Polar'!$D$6*$D$65)))</f>
        <v>0.18698095613025251</v>
      </c>
      <c r="H171" s="97">
        <f>((TLAR!$B$40)/(TLAR!$B$40-1))*(TLAR!$F$14/AX171)*((TLAR!$F$19*0.01)+2*SQRT(($E$64)/(PI()*'Drag Polar'!$D$6*$E$65)))</f>
        <v>0.26441200490888161</v>
      </c>
      <c r="I171" s="97">
        <f>((TLAR!$B$40)/(TLAR!$B$40-1))*(TLAR!$F$21/BD171)*((TLAR!$F$26*0.01)+2*SQRT(($F$64)/(PI()*'Drag Polar'!$D$6*$F$65)))</f>
        <v>0.28290457513412665</v>
      </c>
      <c r="J171" s="97">
        <f>((TLAR!$B$40)/(TLAR!$B$40-1))*(TLAR!$F$28/BJ171)*((TLAR!$F$33*0.01)+2*SQRT(($G$64)/(PI()*'Drag Polar'!$D$6*$G$65)))</f>
        <v>0.18848245034993669</v>
      </c>
      <c r="K171" s="97">
        <f>((TLAR!$B$40)/(TLAR!$B$40-1))*(TLAR!$F$35/BP171)*((TLAR!$F$40*0.01)+2*SQRT(($H$64)/(PI()*'Drag Polar'!$D$6*$H$65)))</f>
        <v>0.23470639454751921</v>
      </c>
      <c r="L171" s="15">
        <f>1.15*SQRT(((TLAR!$B$40)/(TLAR!$B$40-1))*((B171)/($D$73*0.85*1.225*9.81*PI()*'Drag Polar'!$E$42*'Drag Polar'!$D$6)))+((TLAR!$B$40)/(TLAR!$B$40-1))*((4*11)/($D$73))</f>
        <v>0.19852385786037066</v>
      </c>
      <c r="M171" s="15"/>
      <c r="N171" s="15"/>
      <c r="O171" s="15"/>
      <c r="P171" s="15"/>
      <c r="Q171" s="15"/>
      <c r="R171" s="15"/>
      <c r="S171" s="15"/>
      <c r="T171" s="15"/>
      <c r="U171" s="15"/>
      <c r="V171" s="15"/>
      <c r="W171" s="15"/>
      <c r="X171" s="15"/>
      <c r="Y171" s="15"/>
      <c r="Z171" s="15"/>
      <c r="AA171" s="15"/>
      <c r="AB171" s="15"/>
      <c r="AC171" s="15"/>
      <c r="AD171" s="15"/>
      <c r="AI171" s="95">
        <f t="shared" si="25"/>
        <v>189.18948010239853</v>
      </c>
      <c r="AJ171" s="96">
        <f t="shared" si="26"/>
        <v>0.60911186583800969</v>
      </c>
      <c r="AK171" s="92">
        <f t="shared" si="27"/>
        <v>50488.847198467665</v>
      </c>
      <c r="AL171" s="96">
        <f>((AK171)/(101325))*(1-(0.43+0.014*'Drag Polar'!$D$31)*SQRT(AJ171))</f>
        <v>0.30384091306168032</v>
      </c>
      <c r="AN171" s="92"/>
      <c r="AO171" s="95">
        <f t="shared" si="28"/>
        <v>71.417141942710828</v>
      </c>
      <c r="AP171" s="96">
        <f t="shared" si="29"/>
        <v>0.20986696664732046</v>
      </c>
      <c r="AQ171" s="92">
        <f t="shared" si="30"/>
        <v>104483.49049709704</v>
      </c>
      <c r="AR171" s="96">
        <f>((AQ171)/(101325))*(1-(0.43+0.014*'Drag Polar'!$D$31)*SQRT(AP171))</f>
        <v>0.79497556823295323</v>
      </c>
      <c r="AS171" s="92"/>
      <c r="AT171" s="92"/>
      <c r="AU171" s="95">
        <f t="shared" si="31"/>
        <v>79.846792071326391</v>
      </c>
      <c r="AV171" s="96">
        <f t="shared" si="32"/>
        <v>0.23463840182754483</v>
      </c>
      <c r="AW171" s="92">
        <f t="shared" si="33"/>
        <v>105283.96916570785</v>
      </c>
      <c r="AX171" s="96">
        <f>((AW171)/(101325))*(1-(0.43+0.014*'Drag Polar'!$D$31)*SQRT(AV171))</f>
        <v>0.78741141128984438</v>
      </c>
      <c r="AY171" s="92"/>
      <c r="AZ171" s="92"/>
      <c r="BA171" s="95">
        <f t="shared" si="34"/>
        <v>79.846792071326391</v>
      </c>
      <c r="BB171" s="96">
        <f t="shared" si="35"/>
        <v>0.23463840182754483</v>
      </c>
      <c r="BC171" s="92">
        <f t="shared" si="36"/>
        <v>105283.96916570785</v>
      </c>
      <c r="BD171" s="96">
        <f>((BC171)/(101325))*(1-(0.43+0.014*'Drag Polar'!$D$31)*SQRT(BB171))</f>
        <v>0.78741141128984438</v>
      </c>
      <c r="BE171" s="92"/>
      <c r="BF171" s="92"/>
      <c r="BG171" s="95">
        <f t="shared" si="37"/>
        <v>79.846792071326391</v>
      </c>
      <c r="BH171" s="96">
        <f t="shared" si="38"/>
        <v>0.23463840182754483</v>
      </c>
      <c r="BI171" s="92">
        <f t="shared" si="39"/>
        <v>105283.96916570785</v>
      </c>
      <c r="BJ171" s="96">
        <f>((BI171)/(101325))*(1-(0.43+0.014*'Drag Polar'!$D$31)*SQRT(BH171))</f>
        <v>0.78741141128984438</v>
      </c>
      <c r="BK171" s="92"/>
      <c r="BL171" s="92"/>
      <c r="BM171" s="95">
        <f t="shared" si="40"/>
        <v>71.417141942710828</v>
      </c>
      <c r="BN171" s="96">
        <f t="shared" si="41"/>
        <v>0.20986696664732046</v>
      </c>
      <c r="BO171" s="92">
        <f t="shared" si="42"/>
        <v>104483.49049709704</v>
      </c>
      <c r="BP171" s="96">
        <f>((BO171)/(101325))*(1-(0.43+0.014*'Drag Polar'!$D$31)*SQRT(BN171))</f>
        <v>0.79497556823295323</v>
      </c>
      <c r="BQ171" s="92"/>
      <c r="BR171" s="92"/>
      <c r="BS171" s="95">
        <f t="shared" si="43"/>
        <v>189.18948010239853</v>
      </c>
      <c r="BT171" s="96">
        <f t="shared" si="44"/>
        <v>0.60911186583800969</v>
      </c>
      <c r="BU171" s="92">
        <f t="shared" si="45"/>
        <v>50488.847198467665</v>
      </c>
      <c r="BV171" s="96">
        <f>((BU171)/(101325))*(1-(0.43+0.014*'Drag Polar'!$D$31)*SQRT(BT171))</f>
        <v>0.30384091306168032</v>
      </c>
      <c r="BW171" s="92"/>
      <c r="BX171" s="92"/>
      <c r="BY171" s="92"/>
    </row>
    <row r="172" spans="1:77">
      <c r="A172" s="15"/>
      <c r="B172" s="88">
        <v>7200</v>
      </c>
      <c r="C172" s="89">
        <f t="shared" si="23"/>
        <v>5379.4075927863296</v>
      </c>
      <c r="D172" s="89">
        <f t="shared" si="24"/>
        <v>5788.633461047255</v>
      </c>
      <c r="E172" s="90">
        <f>(TLAR!$B$21/$AN$96)*(('Drag Polar'!$D$39*0.5*(1.225*0.3345)*Sheet1!$C$5^2)/(TLAR!$B$21*B172)+(TLAR!$B$21*B172)/('Drag Polar'!$D$26*PI()*'Drag Polar'!$D$6*0.5*(1.225*0.3345)*Sheet1!$C$5^2))</f>
        <v>0.28243930337994466</v>
      </c>
      <c r="F172" s="90">
        <f>((TLAR!$B$21/AL172))*(SQRT(($D$47^2*(1.225*0.3345)*SQRT(Sheet1!$C$9))/((TLAR!$B$21*B172*2)))+2*SQRT(Sheet1!$C$10))</f>
        <v>0.26137187787514926</v>
      </c>
      <c r="G172" s="97">
        <f>((TLAR!$B$40)/(TLAR!$B$40-0))*(TLAR!$F$6/AR172)*((TLAR!$F$11*0.01)+2*SQRT(($D$64)/(PI()*'Drag Polar'!$D$6*$D$65)))</f>
        <v>0.18709520055727361</v>
      </c>
      <c r="H172" s="97">
        <f>((TLAR!$B$40)/(TLAR!$B$40-1))*(TLAR!$F$14/AX172)*((TLAR!$F$19*0.01)+2*SQRT(($E$64)/(PI()*'Drag Polar'!$D$6*$E$65)))</f>
        <v>0.2645662698856226</v>
      </c>
      <c r="I172" s="97">
        <f>((TLAR!$B$40)/(TLAR!$B$40-1))*(TLAR!$F$21/BD172)*((TLAR!$F$26*0.01)+2*SQRT(($F$64)/(PI()*'Drag Polar'!$D$6*$F$65)))</f>
        <v>0.28306962916682088</v>
      </c>
      <c r="J172" s="97">
        <f>((TLAR!$B$40)/(TLAR!$B$40-1))*(TLAR!$F$28/BJ172)*((TLAR!$F$33*0.01)+2*SQRT(($G$64)/(PI()*'Drag Polar'!$D$6*$G$65)))</f>
        <v>0.18859241601064616</v>
      </c>
      <c r="K172" s="97">
        <f>((TLAR!$B$40)/(TLAR!$B$40-1))*(TLAR!$F$35/BP172)*((TLAR!$F$40*0.01)+2*SQRT(($H$64)/(PI()*'Drag Polar'!$D$6*$H$65)))</f>
        <v>0.23484979897820679</v>
      </c>
      <c r="L172" s="15">
        <f>1.15*SQRT(((TLAR!$B$40)/(TLAR!$B$40-1))*((B172)/($D$73*0.85*1.225*9.81*PI()*'Drag Polar'!$E$42*'Drag Polar'!$D$6)))+((TLAR!$B$40)/(TLAR!$B$40-1))*((4*11)/($D$73))</f>
        <v>0.19968659519193047</v>
      </c>
      <c r="M172" s="15"/>
      <c r="N172" s="15"/>
      <c r="O172" s="15"/>
      <c r="P172" s="15"/>
      <c r="Q172" s="15"/>
      <c r="R172" s="15"/>
      <c r="S172" s="15"/>
      <c r="T172" s="15"/>
      <c r="U172" s="15"/>
      <c r="V172" s="15"/>
      <c r="W172" s="15"/>
      <c r="X172" s="15"/>
      <c r="Y172" s="15"/>
      <c r="Z172" s="15"/>
      <c r="AA172" s="15"/>
      <c r="AB172" s="15"/>
      <c r="AC172" s="15"/>
      <c r="AD172" s="15"/>
      <c r="AI172" s="95">
        <f t="shared" si="25"/>
        <v>190.51714186533027</v>
      </c>
      <c r="AJ172" s="96">
        <f t="shared" si="26"/>
        <v>0.61338638751428587</v>
      </c>
      <c r="AK172" s="92">
        <f t="shared" si="27"/>
        <v>50660.982849792104</v>
      </c>
      <c r="AL172" s="96">
        <f>((AK172)/(101325))*(1-(0.43+0.014*'Drag Polar'!$D$31)*SQRT(AJ172))</f>
        <v>0.30419342038406172</v>
      </c>
      <c r="AN172" s="92"/>
      <c r="AO172" s="95">
        <f t="shared" si="28"/>
        <v>71.918321017381814</v>
      </c>
      <c r="AP172" s="96">
        <f t="shared" si="29"/>
        <v>0.21133973535924519</v>
      </c>
      <c r="AQ172" s="92">
        <f t="shared" si="30"/>
        <v>104528.4719442846</v>
      </c>
      <c r="AR172" s="96">
        <f>((AQ172)/(101325))*(1-(0.43+0.014*'Drag Polar'!$D$31)*SQRT(AP172))</f>
        <v>0.79449013874027763</v>
      </c>
      <c r="AS172" s="92"/>
      <c r="AT172" s="92"/>
      <c r="AU172" s="95">
        <f t="shared" si="31"/>
        <v>80.40712731125879</v>
      </c>
      <c r="AV172" s="96">
        <f t="shared" si="32"/>
        <v>0.23628500730504409</v>
      </c>
      <c r="AW172" s="92">
        <f t="shared" si="33"/>
        <v>105340.50548100808</v>
      </c>
      <c r="AX172" s="96">
        <f>((AW172)/(101325))*(1-(0.43+0.014*'Drag Polar'!$D$31)*SQRT(AV172))</f>
        <v>0.78695228245569337</v>
      </c>
      <c r="AY172" s="92"/>
      <c r="AZ172" s="92"/>
      <c r="BA172" s="95">
        <f t="shared" si="34"/>
        <v>80.40712731125879</v>
      </c>
      <c r="BB172" s="96">
        <f t="shared" si="35"/>
        <v>0.23628500730504409</v>
      </c>
      <c r="BC172" s="92">
        <f t="shared" si="36"/>
        <v>105340.50548100808</v>
      </c>
      <c r="BD172" s="96">
        <f>((BC172)/(101325))*(1-(0.43+0.014*'Drag Polar'!$D$31)*SQRT(BB172))</f>
        <v>0.78695228245569337</v>
      </c>
      <c r="BE172" s="92"/>
      <c r="BF172" s="92"/>
      <c r="BG172" s="95">
        <f t="shared" si="37"/>
        <v>80.40712731125879</v>
      </c>
      <c r="BH172" s="96">
        <f t="shared" si="38"/>
        <v>0.23628500730504409</v>
      </c>
      <c r="BI172" s="92">
        <f t="shared" si="39"/>
        <v>105340.50548100808</v>
      </c>
      <c r="BJ172" s="96">
        <f>((BI172)/(101325))*(1-(0.43+0.014*'Drag Polar'!$D$31)*SQRT(BH172))</f>
        <v>0.78695228245569337</v>
      </c>
      <c r="BK172" s="92"/>
      <c r="BL172" s="92"/>
      <c r="BM172" s="95">
        <f t="shared" si="40"/>
        <v>71.918321017381814</v>
      </c>
      <c r="BN172" s="96">
        <f t="shared" si="41"/>
        <v>0.21133973535924519</v>
      </c>
      <c r="BO172" s="92">
        <f t="shared" si="42"/>
        <v>104528.4719442846</v>
      </c>
      <c r="BP172" s="96">
        <f>((BO172)/(101325))*(1-(0.43+0.014*'Drag Polar'!$D$31)*SQRT(BN172))</f>
        <v>0.79449013874027763</v>
      </c>
      <c r="BQ172" s="92"/>
      <c r="BR172" s="92"/>
      <c r="BS172" s="95">
        <f t="shared" si="43"/>
        <v>190.51714186533027</v>
      </c>
      <c r="BT172" s="96">
        <f t="shared" si="44"/>
        <v>0.61338638751428587</v>
      </c>
      <c r="BU172" s="92">
        <f t="shared" si="45"/>
        <v>50660.982849792104</v>
      </c>
      <c r="BV172" s="96">
        <f>((BU172)/(101325))*(1-(0.43+0.014*'Drag Polar'!$D$31)*SQRT(BT172))</f>
        <v>0.30419342038406172</v>
      </c>
      <c r="BW172" s="92"/>
      <c r="BX172" s="92"/>
      <c r="BY172" s="92"/>
    </row>
    <row r="173" spans="1:77">
      <c r="A173" s="15"/>
      <c r="B173" s="88">
        <v>7300</v>
      </c>
      <c r="C173" s="89">
        <f t="shared" si="23"/>
        <v>5379.4075927863296</v>
      </c>
      <c r="D173" s="89">
        <f t="shared" si="24"/>
        <v>5788.633461047255</v>
      </c>
      <c r="E173" s="90">
        <f>(TLAR!$B$21/$AN$96)*(('Drag Polar'!$D$39*0.5*(1.225*0.3345)*Sheet1!$C$5^2)/(TLAR!$B$21*B173)+(TLAR!$B$21*B173)/('Drag Polar'!$D$26*PI()*'Drag Polar'!$D$6*0.5*(1.225*0.3345)*Sheet1!$C$5^2))</f>
        <v>0.28158352606737197</v>
      </c>
      <c r="F173" s="90">
        <f>((TLAR!$B$21/AL173))*(SQRT(($D$47^2*(1.225*0.3345)*SQRT(Sheet1!$C$9))/((TLAR!$B$21*B173*2)))+2*SQRT(Sheet1!$C$10))</f>
        <v>0.26060445128762122</v>
      </c>
      <c r="G173" s="97">
        <f>((TLAR!$B$40)/(TLAR!$B$40-0))*(TLAR!$F$6/AR173)*((TLAR!$F$11*0.01)+2*SQRT(($D$64)/(PI()*'Drag Polar'!$D$6*$D$65)))</f>
        <v>0.18720770468282008</v>
      </c>
      <c r="H173" s="97">
        <f>((TLAR!$B$40)/(TLAR!$B$40-1))*(TLAR!$F$14/AX173)*((TLAR!$F$19*0.01)+2*SQRT(($E$64)/(PI()*'Drag Polar'!$D$6*$E$65)))</f>
        <v>0.26471790122806366</v>
      </c>
      <c r="I173" s="97">
        <f>((TLAR!$B$40)/(TLAR!$B$40-1))*(TLAR!$F$21/BD173)*((TLAR!$F$26*0.01)+2*SQRT(($F$64)/(PI()*'Drag Polar'!$D$6*$F$65)))</f>
        <v>0.28323186537287015</v>
      </c>
      <c r="J173" s="97">
        <f>((TLAR!$B$40)/(TLAR!$B$40-1))*(TLAR!$F$28/BJ173)*((TLAR!$F$33*0.01)+2*SQRT(($G$64)/(PI()*'Drag Polar'!$D$6*$G$65)))</f>
        <v>0.18870050432147373</v>
      </c>
      <c r="K173" s="97">
        <f>((TLAR!$B$40)/(TLAR!$B$40-1))*(TLAR!$F$35/BP173)*((TLAR!$F$40*0.01)+2*SQRT(($H$64)/(PI()*'Drag Polar'!$D$6*$H$65)))</f>
        <v>0.2349910189089699</v>
      </c>
      <c r="L173" s="15">
        <f>1.15*SQRT(((TLAR!$B$40)/(TLAR!$B$40-1))*((B173)/($D$73*0.85*1.225*9.81*PI()*'Drag Polar'!$E$42*'Drag Polar'!$D$6)))+((TLAR!$B$40)/(TLAR!$B$40-1))*((4*11)/($D$73))</f>
        <v>0.20084128560830161</v>
      </c>
      <c r="M173" s="15"/>
      <c r="N173" s="15"/>
      <c r="O173" s="15"/>
      <c r="P173" s="15"/>
      <c r="Q173" s="15"/>
      <c r="R173" s="15"/>
      <c r="S173" s="15"/>
      <c r="T173" s="15"/>
      <c r="U173" s="15"/>
      <c r="V173" s="15"/>
      <c r="W173" s="15"/>
      <c r="X173" s="15"/>
      <c r="Y173" s="15"/>
      <c r="Z173" s="15"/>
      <c r="AA173" s="15"/>
      <c r="AB173" s="15"/>
      <c r="AC173" s="15"/>
      <c r="AD173" s="15"/>
      <c r="AI173" s="95">
        <f t="shared" si="25"/>
        <v>191.83561532638544</v>
      </c>
      <c r="AJ173" s="96">
        <f t="shared" si="26"/>
        <v>0.61763132665935105</v>
      </c>
      <c r="AK173" s="92">
        <f t="shared" si="27"/>
        <v>50833.537290317436</v>
      </c>
      <c r="AL173" s="96">
        <f>((AK173)/(101325))*(1-(0.43+0.014*'Drag Polar'!$D$31)*SQRT(AJ173))</f>
        <v>0.30455089880782615</v>
      </c>
      <c r="AN173" s="92"/>
      <c r="AO173" s="95">
        <f t="shared" si="28"/>
        <v>72.416031599729777</v>
      </c>
      <c r="AP173" s="96">
        <f t="shared" si="29"/>
        <v>0.21280231153275586</v>
      </c>
      <c r="AQ173" s="92">
        <f t="shared" si="30"/>
        <v>104573.46722196728</v>
      </c>
      <c r="AR173" s="96">
        <f>((AQ173)/(101325))*(1-(0.43+0.014*'Drag Polar'!$D$31)*SQRT(AP173))</f>
        <v>0.7940126828659817</v>
      </c>
      <c r="AS173" s="92"/>
      <c r="AT173" s="92"/>
      <c r="AU173" s="95">
        <f t="shared" si="31"/>
        <v>80.963584658884301</v>
      </c>
      <c r="AV173" s="96">
        <f t="shared" si="32"/>
        <v>0.23792021717816475</v>
      </c>
      <c r="AW173" s="92">
        <f t="shared" si="33"/>
        <v>105397.06347824603</v>
      </c>
      <c r="AX173" s="96">
        <f>((AW173)/(101325))*(1-(0.43+0.014*'Drag Polar'!$D$31)*SQRT(AV173))</f>
        <v>0.78650151342771224</v>
      </c>
      <c r="AY173" s="92"/>
      <c r="AZ173" s="92"/>
      <c r="BA173" s="95">
        <f t="shared" si="34"/>
        <v>80.963584658884301</v>
      </c>
      <c r="BB173" s="96">
        <f t="shared" si="35"/>
        <v>0.23792021717816475</v>
      </c>
      <c r="BC173" s="92">
        <f t="shared" si="36"/>
        <v>105397.06347824603</v>
      </c>
      <c r="BD173" s="96">
        <f>((BC173)/(101325))*(1-(0.43+0.014*'Drag Polar'!$D$31)*SQRT(BB173))</f>
        <v>0.78650151342771224</v>
      </c>
      <c r="BE173" s="92"/>
      <c r="BF173" s="92"/>
      <c r="BG173" s="95">
        <f t="shared" si="37"/>
        <v>80.963584658884301</v>
      </c>
      <c r="BH173" s="96">
        <f t="shared" si="38"/>
        <v>0.23792021717816475</v>
      </c>
      <c r="BI173" s="92">
        <f t="shared" si="39"/>
        <v>105397.06347824603</v>
      </c>
      <c r="BJ173" s="96">
        <f>((BI173)/(101325))*(1-(0.43+0.014*'Drag Polar'!$D$31)*SQRT(BH173))</f>
        <v>0.78650151342771224</v>
      </c>
      <c r="BK173" s="92"/>
      <c r="BL173" s="92"/>
      <c r="BM173" s="95">
        <f t="shared" si="40"/>
        <v>72.416031599729777</v>
      </c>
      <c r="BN173" s="96">
        <f t="shared" si="41"/>
        <v>0.21280231153275586</v>
      </c>
      <c r="BO173" s="92">
        <f t="shared" si="42"/>
        <v>104573.46722196728</v>
      </c>
      <c r="BP173" s="96">
        <f>((BO173)/(101325))*(1-(0.43+0.014*'Drag Polar'!$D$31)*SQRT(BN173))</f>
        <v>0.7940126828659817</v>
      </c>
      <c r="BQ173" s="92"/>
      <c r="BR173" s="92"/>
      <c r="BS173" s="95">
        <f t="shared" si="43"/>
        <v>191.83561532638544</v>
      </c>
      <c r="BT173" s="96">
        <f t="shared" si="44"/>
        <v>0.61763132665935105</v>
      </c>
      <c r="BU173" s="92">
        <f t="shared" si="45"/>
        <v>50833.537290317436</v>
      </c>
      <c r="BV173" s="96">
        <f>((BU173)/(101325))*(1-(0.43+0.014*'Drag Polar'!$D$31)*SQRT(BT173))</f>
        <v>0.30455089880782615</v>
      </c>
      <c r="BW173" s="92"/>
      <c r="BX173" s="92"/>
      <c r="BY173" s="92"/>
    </row>
    <row r="174" spans="1:77">
      <c r="A174" s="15"/>
      <c r="B174" s="88">
        <v>7400</v>
      </c>
      <c r="C174" s="89">
        <f t="shared" si="23"/>
        <v>5379.4075927863296</v>
      </c>
      <c r="D174" s="89">
        <f t="shared" si="24"/>
        <v>5788.633461047255</v>
      </c>
      <c r="E174" s="90">
        <f>(TLAR!$B$21/$AN$96)*(('Drag Polar'!$D$39*0.5*(1.225*0.3345)*Sheet1!$C$5^2)/(TLAR!$B$21*B174)+(TLAR!$B$21*B174)/('Drag Polar'!$D$26*PI()*'Drag Polar'!$D$6*0.5*(1.225*0.3345)*Sheet1!$C$5^2))</f>
        <v>0.28079187834844049</v>
      </c>
      <c r="F174" s="90">
        <f>((TLAR!$B$21/AL174))*(SQRT(($D$47^2*(1.225*0.3345)*SQRT(Sheet1!$C$9))/((TLAR!$B$21*B174*2)))+2*SQRT(Sheet1!$C$10))</f>
        <v>0.25984404020383967</v>
      </c>
      <c r="G174" s="97">
        <f>((TLAR!$B$40)/(TLAR!$B$40-0))*(TLAR!$F$6/AR174)*((TLAR!$F$11*0.01)+2*SQRT(($D$64)/(PI()*'Drag Polar'!$D$6*$D$65)))</f>
        <v>0.1873185077649879</v>
      </c>
      <c r="H174" s="97">
        <f>((TLAR!$B$40)/(TLAR!$B$40-1))*(TLAR!$F$14/AX174)*((TLAR!$F$19*0.01)+2*SQRT(($E$64)/(PI()*'Drag Polar'!$D$6*$E$65)))</f>
        <v>0.26486695831020207</v>
      </c>
      <c r="I174" s="97">
        <f>((TLAR!$B$40)/(TLAR!$B$40-1))*(TLAR!$F$21/BD174)*((TLAR!$F$26*0.01)+2*SQRT(($F$64)/(PI()*'Drag Polar'!$D$6*$F$65)))</f>
        <v>0.28339134727879817</v>
      </c>
      <c r="J174" s="97">
        <f>((TLAR!$B$40)/(TLAR!$B$40-1))*(TLAR!$F$28/BJ174)*((TLAR!$F$33*0.01)+2*SQRT(($G$64)/(PI()*'Drag Polar'!$D$6*$G$65)))</f>
        <v>0.18880675760635446</v>
      </c>
      <c r="K174" s="97">
        <f>((TLAR!$B$40)/(TLAR!$B$40-1))*(TLAR!$F$35/BP174)*((TLAR!$F$40*0.01)+2*SQRT(($H$64)/(PI()*'Drag Polar'!$D$6*$H$65)))</f>
        <v>0.23513010361822895</v>
      </c>
      <c r="L174" s="15">
        <f>1.15*SQRT(((TLAR!$B$40)/(TLAR!$B$40-1))*((B174)/($D$73*0.85*1.225*9.81*PI()*'Drag Polar'!$E$42*'Drag Polar'!$D$6)))+((TLAR!$B$40)/(TLAR!$B$40-1))*((4*11)/($D$73))</f>
        <v>0.20198809390242847</v>
      </c>
      <c r="M174" s="15"/>
      <c r="N174" s="15"/>
      <c r="O174" s="15"/>
      <c r="P174" s="15"/>
      <c r="Q174" s="15"/>
      <c r="R174" s="15"/>
      <c r="S174" s="15"/>
      <c r="T174" s="15"/>
      <c r="U174" s="15"/>
      <c r="V174" s="15"/>
      <c r="W174" s="15"/>
      <c r="X174" s="15"/>
      <c r="Y174" s="15"/>
      <c r="Z174" s="15"/>
      <c r="AA174" s="15"/>
      <c r="AB174" s="15"/>
      <c r="AC174" s="15"/>
      <c r="AD174" s="15"/>
      <c r="AI174" s="95">
        <f t="shared" si="25"/>
        <v>193.14508865299024</v>
      </c>
      <c r="AJ174" s="96">
        <f t="shared" si="26"/>
        <v>0.62184728909448039</v>
      </c>
      <c r="AK174" s="92">
        <f t="shared" si="27"/>
        <v>51006.511130773368</v>
      </c>
      <c r="AL174" s="96">
        <f>((AK174)/(101325))*(1-(0.43+0.014*'Drag Polar'!$D$31)*SQRT(AJ174))</f>
        <v>0.30491323750739147</v>
      </c>
      <c r="AN174" s="92"/>
      <c r="AO174" s="95">
        <f t="shared" si="28"/>
        <v>72.910344721081515</v>
      </c>
      <c r="AP174" s="96">
        <f t="shared" si="29"/>
        <v>0.21425490390105975</v>
      </c>
      <c r="AQ174" s="92">
        <f t="shared" si="30"/>
        <v>104618.47633269611</v>
      </c>
      <c r="AR174" s="96">
        <f>((AQ174)/(101325))*(1-(0.43+0.014*'Drag Polar'!$D$31)*SQRT(AP174))</f>
        <v>0.79354300662527477</v>
      </c>
      <c r="AS174" s="92"/>
      <c r="AT174" s="92"/>
      <c r="AU174" s="95">
        <f t="shared" si="31"/>
        <v>81.51624352964059</v>
      </c>
      <c r="AV174" s="96">
        <f t="shared" si="32"/>
        <v>0.2395442648177272</v>
      </c>
      <c r="AW174" s="92">
        <f t="shared" si="33"/>
        <v>105453.64316240995</v>
      </c>
      <c r="AX174" s="96">
        <f>((AW174)/(101325))*(1-(0.43+0.014*'Drag Polar'!$D$31)*SQRT(AV174))</f>
        <v>0.78605890019487668</v>
      </c>
      <c r="AY174" s="92"/>
      <c r="AZ174" s="92"/>
      <c r="BA174" s="95">
        <f t="shared" si="34"/>
        <v>81.51624352964059</v>
      </c>
      <c r="BB174" s="96">
        <f t="shared" si="35"/>
        <v>0.2395442648177272</v>
      </c>
      <c r="BC174" s="92">
        <f t="shared" si="36"/>
        <v>105453.64316240995</v>
      </c>
      <c r="BD174" s="96">
        <f>((BC174)/(101325))*(1-(0.43+0.014*'Drag Polar'!$D$31)*SQRT(BB174))</f>
        <v>0.78605890019487668</v>
      </c>
      <c r="BE174" s="92"/>
      <c r="BF174" s="92"/>
      <c r="BG174" s="95">
        <f t="shared" si="37"/>
        <v>81.51624352964059</v>
      </c>
      <c r="BH174" s="96">
        <f t="shared" si="38"/>
        <v>0.2395442648177272</v>
      </c>
      <c r="BI174" s="92">
        <f t="shared" si="39"/>
        <v>105453.64316240995</v>
      </c>
      <c r="BJ174" s="96">
        <f>((BI174)/(101325))*(1-(0.43+0.014*'Drag Polar'!$D$31)*SQRT(BH174))</f>
        <v>0.78605890019487668</v>
      </c>
      <c r="BK174" s="92"/>
      <c r="BL174" s="92"/>
      <c r="BM174" s="95">
        <f t="shared" si="40"/>
        <v>72.910344721081515</v>
      </c>
      <c r="BN174" s="96">
        <f t="shared" si="41"/>
        <v>0.21425490390105975</v>
      </c>
      <c r="BO174" s="92">
        <f t="shared" si="42"/>
        <v>104618.47633269611</v>
      </c>
      <c r="BP174" s="96">
        <f>((BO174)/(101325))*(1-(0.43+0.014*'Drag Polar'!$D$31)*SQRT(BN174))</f>
        <v>0.79354300662527477</v>
      </c>
      <c r="BQ174" s="92"/>
      <c r="BR174" s="92"/>
      <c r="BS174" s="95">
        <f t="shared" si="43"/>
        <v>193.14508865299024</v>
      </c>
      <c r="BT174" s="96">
        <f t="shared" si="44"/>
        <v>0.62184728909448039</v>
      </c>
      <c r="BU174" s="92">
        <f t="shared" si="45"/>
        <v>51006.511130773368</v>
      </c>
      <c r="BV174" s="96">
        <f>((BU174)/(101325))*(1-(0.43+0.014*'Drag Polar'!$D$31)*SQRT(BT174))</f>
        <v>0.30491323750739147</v>
      </c>
      <c r="BW174" s="92"/>
      <c r="BX174" s="92"/>
      <c r="BY174" s="92"/>
    </row>
    <row r="175" spans="1:77">
      <c r="A175" s="15"/>
      <c r="B175" s="88">
        <v>7500</v>
      </c>
      <c r="C175" s="89">
        <f t="shared" si="23"/>
        <v>5379.4075927863296</v>
      </c>
      <c r="D175" s="89">
        <f t="shared" si="24"/>
        <v>5788.633461047255</v>
      </c>
      <c r="E175" s="90">
        <f>(TLAR!$B$21/$AN$96)*(('Drag Polar'!$D$39*0.5*(1.225*0.3345)*Sheet1!$C$5^2)/(TLAR!$B$21*B175)+(TLAR!$B$21*B175)/('Drag Polar'!$D$26*PI()*'Drag Polar'!$D$6*0.5*(1.225*0.3345)*Sheet1!$C$5^2))</f>
        <v>0.28006179503940454</v>
      </c>
      <c r="F175" s="90">
        <f>((TLAR!$B$21/AL175))*(SQRT(($D$47^2*(1.225*0.3345)*SQRT(Sheet1!$C$9))/((TLAR!$B$21*B175*2)))+2*SQRT(Sheet1!$C$10))</f>
        <v>0.2590904337520919</v>
      </c>
      <c r="G175" s="97">
        <f>((TLAR!$B$40)/(TLAR!$B$40-0))*(TLAR!$F$6/AR175)*((TLAR!$F$11*0.01)+2*SQRT(($D$64)/(PI()*'Drag Polar'!$D$6*$D$65)))</f>
        <v>0.18742764765663147</v>
      </c>
      <c r="H175" s="97">
        <f>((TLAR!$B$40)/(TLAR!$B$40-1))*(TLAR!$F$14/AX175)*((TLAR!$F$19*0.01)+2*SQRT(($E$64)/(PI()*'Drag Polar'!$D$6*$E$65)))</f>
        <v>0.26501349838833277</v>
      </c>
      <c r="I175" s="97">
        <f>((TLAR!$B$40)/(TLAR!$B$40-1))*(TLAR!$F$21/BD175)*((TLAR!$F$26*0.01)+2*SQRT(($F$64)/(PI()*'Drag Polar'!$D$6*$F$65)))</f>
        <v>0.28354813614531715</v>
      </c>
      <c r="J175" s="97">
        <f>((TLAR!$B$40)/(TLAR!$B$40-1))*(TLAR!$F$28/BJ175)*((TLAR!$F$33*0.01)+2*SQRT(($G$64)/(PI()*'Drag Polar'!$D$6*$G$65)))</f>
        <v>0.18891121667964828</v>
      </c>
      <c r="K175" s="97">
        <f>((TLAR!$B$40)/(TLAR!$B$40-1))*(TLAR!$F$35/BP175)*((TLAR!$F$40*0.01)+2*SQRT(($H$64)/(PI()*'Drag Polar'!$D$6*$H$65)))</f>
        <v>0.23526710062048586</v>
      </c>
      <c r="L175" s="15">
        <f>1.15*SQRT(((TLAR!$B$40)/(TLAR!$B$40-1))*((B175)/($D$73*0.85*1.225*9.81*PI()*'Drag Polar'!$E$42*'Drag Polar'!$D$6)))+((TLAR!$B$40)/(TLAR!$B$40-1))*((4*11)/($D$73))</f>
        <v>0.20312717931822355</v>
      </c>
      <c r="M175" s="15"/>
      <c r="N175" s="15"/>
      <c r="O175" s="15"/>
      <c r="P175" s="15"/>
      <c r="Q175" s="15"/>
      <c r="R175" s="15"/>
      <c r="S175" s="15"/>
      <c r="T175" s="15"/>
      <c r="U175" s="15"/>
      <c r="V175" s="15"/>
      <c r="W175" s="15"/>
      <c r="X175" s="15"/>
      <c r="Y175" s="15"/>
      <c r="Z175" s="15"/>
      <c r="AA175" s="15"/>
      <c r="AB175" s="15"/>
      <c r="AC175" s="15"/>
      <c r="AD175" s="15"/>
      <c r="AI175" s="95">
        <f t="shared" si="25"/>
        <v>194.44574367645589</v>
      </c>
      <c r="AJ175" s="96">
        <f t="shared" si="26"/>
        <v>0.62603486024127963</v>
      </c>
      <c r="AK175" s="92">
        <f t="shared" si="27"/>
        <v>51179.904982186352</v>
      </c>
      <c r="AL175" s="96">
        <f>((AK175)/(101325))*(1-(0.43+0.014*'Drag Polar'!$D$31)*SQRT(AJ175))</f>
        <v>0.30528032997585552</v>
      </c>
      <c r="AN175" s="92"/>
      <c r="AO175" s="95">
        <f t="shared" si="28"/>
        <v>73.401329020943592</v>
      </c>
      <c r="AP175" s="96">
        <f t="shared" si="29"/>
        <v>0.2156977141687427</v>
      </c>
      <c r="AQ175" s="92">
        <f t="shared" si="30"/>
        <v>104663.49927902258</v>
      </c>
      <c r="AR175" s="96">
        <f>((AQ175)/(101325))*(1-(0.43+0.014*'Drag Polar'!$D$31)*SQRT(AP175))</f>
        <v>0.79308092326222546</v>
      </c>
      <c r="AS175" s="92"/>
      <c r="AT175" s="92"/>
      <c r="AU175" s="95">
        <f t="shared" si="31"/>
        <v>82.065180664828972</v>
      </c>
      <c r="AV175" s="96">
        <f t="shared" si="32"/>
        <v>0.24115737573631407</v>
      </c>
      <c r="AW175" s="92">
        <f t="shared" si="33"/>
        <v>105510.24453848868</v>
      </c>
      <c r="AX175" s="96">
        <f>((AW175)/(101325))*(1-(0.43+0.014*'Drag Polar'!$D$31)*SQRT(AV175))</f>
        <v>0.785624246362712</v>
      </c>
      <c r="AY175" s="92"/>
      <c r="AZ175" s="92"/>
      <c r="BA175" s="95">
        <f t="shared" si="34"/>
        <v>82.065180664828972</v>
      </c>
      <c r="BB175" s="96">
        <f t="shared" si="35"/>
        <v>0.24115737573631407</v>
      </c>
      <c r="BC175" s="92">
        <f t="shared" si="36"/>
        <v>105510.24453848868</v>
      </c>
      <c r="BD175" s="96">
        <f>((BC175)/(101325))*(1-(0.43+0.014*'Drag Polar'!$D$31)*SQRT(BB175))</f>
        <v>0.785624246362712</v>
      </c>
      <c r="BE175" s="92"/>
      <c r="BF175" s="92"/>
      <c r="BG175" s="95">
        <f t="shared" si="37"/>
        <v>82.065180664828972</v>
      </c>
      <c r="BH175" s="96">
        <f t="shared" si="38"/>
        <v>0.24115737573631407</v>
      </c>
      <c r="BI175" s="92">
        <f t="shared" si="39"/>
        <v>105510.24453848868</v>
      </c>
      <c r="BJ175" s="96">
        <f>((BI175)/(101325))*(1-(0.43+0.014*'Drag Polar'!$D$31)*SQRT(BH175))</f>
        <v>0.785624246362712</v>
      </c>
      <c r="BK175" s="92"/>
      <c r="BL175" s="92"/>
      <c r="BM175" s="95">
        <f t="shared" si="40"/>
        <v>73.401329020943592</v>
      </c>
      <c r="BN175" s="96">
        <f t="shared" si="41"/>
        <v>0.2156977141687427</v>
      </c>
      <c r="BO175" s="92">
        <f t="shared" si="42"/>
        <v>104663.49927902258</v>
      </c>
      <c r="BP175" s="96">
        <f>((BO175)/(101325))*(1-(0.43+0.014*'Drag Polar'!$D$31)*SQRT(BN175))</f>
        <v>0.79308092326222546</v>
      </c>
      <c r="BQ175" s="92"/>
      <c r="BR175" s="92"/>
      <c r="BS175" s="95">
        <f t="shared" si="43"/>
        <v>194.44574367645589</v>
      </c>
      <c r="BT175" s="96">
        <f t="shared" si="44"/>
        <v>0.62603486024127963</v>
      </c>
      <c r="BU175" s="92">
        <f t="shared" si="45"/>
        <v>51179.904982186352</v>
      </c>
      <c r="BV175" s="96">
        <f>((BU175)/(101325))*(1-(0.43+0.014*'Drag Polar'!$D$31)*SQRT(BT175))</f>
        <v>0.30528032997585552</v>
      </c>
      <c r="BW175" s="92"/>
      <c r="BX175" s="92"/>
      <c r="BY175" s="92"/>
    </row>
    <row r="176" spans="1:77">
      <c r="A176" s="15"/>
      <c r="B176" s="88">
        <v>7600</v>
      </c>
      <c r="C176" s="89">
        <f t="shared" si="23"/>
        <v>5379.4075927863296</v>
      </c>
      <c r="D176" s="89">
        <f t="shared" si="24"/>
        <v>5788.633461047255</v>
      </c>
      <c r="E176" s="90">
        <f>(TLAR!$B$21/$AN$96)*(('Drag Polar'!$D$39*0.5*(1.225*0.3345)*Sheet1!$C$5^2)/(TLAR!$B$21*B176)+(TLAR!$B$21*B176)/('Drag Polar'!$D$26*PI()*'Drag Polar'!$D$6*0.5*(1.225*0.3345)*Sheet1!$C$5^2))</f>
        <v>0.27939084596618941</v>
      </c>
      <c r="F176" s="90">
        <f>((TLAR!$B$21/AL176))*(SQRT(($D$47^2*(1.225*0.3345)*SQRT(Sheet1!$C$9))/((TLAR!$B$21*B176*2)))+2*SQRT(Sheet1!$C$10))</f>
        <v>0.25834343134007942</v>
      </c>
      <c r="G176" s="97">
        <f>((TLAR!$B$40)/(TLAR!$B$40-0))*(TLAR!$F$6/AR176)*((TLAR!$F$11*0.01)+2*SQRT(($D$64)/(PI()*'Drag Polar'!$D$6*$D$65)))</f>
        <v>0.1875351608739266</v>
      </c>
      <c r="H176" s="97">
        <f>((TLAR!$B$40)/(TLAR!$B$40-1))*(TLAR!$F$14/AX176)*((TLAR!$F$19*0.01)+2*SQRT(($E$64)/(PI()*'Drag Polar'!$D$6*$E$65)))</f>
        <v>0.26515757670417023</v>
      </c>
      <c r="I176" s="97">
        <f>((TLAR!$B$40)/(TLAR!$B$40-1))*(TLAR!$F$21/BD176)*((TLAR!$F$26*0.01)+2*SQRT(($F$64)/(PI()*'Drag Polar'!$D$6*$F$65)))</f>
        <v>0.28370229107766259</v>
      </c>
      <c r="J176" s="97">
        <f>((TLAR!$B$40)/(TLAR!$B$40-1))*(TLAR!$F$28/BJ176)*((TLAR!$F$33*0.01)+2*SQRT(($G$64)/(PI()*'Drag Polar'!$D$6*$G$65)))</f>
        <v>0.18901392091964941</v>
      </c>
      <c r="K176" s="97">
        <f>((TLAR!$B$40)/(TLAR!$B$40-1))*(TLAR!$F$35/BP176)*((TLAR!$F$40*0.01)+2*SQRT(($H$64)/(PI()*'Drag Polar'!$D$6*$H$65)))</f>
        <v>0.23540205575238693</v>
      </c>
      <c r="L176" s="15">
        <f>1.15*SQRT(((TLAR!$B$40)/(TLAR!$B$40-1))*((B176)/($D$73*0.85*1.225*9.81*PI()*'Drag Polar'!$E$42*'Drag Polar'!$D$6)))+((TLAR!$B$40)/(TLAR!$B$40-1))*((4*11)/($D$73))</f>
        <v>0.20425869580868811</v>
      </c>
      <c r="M176" s="15"/>
      <c r="N176" s="15"/>
      <c r="O176" s="15"/>
      <c r="P176" s="15"/>
      <c r="Q176" s="15"/>
      <c r="R176" s="15"/>
      <c r="S176" s="15"/>
      <c r="T176" s="15"/>
      <c r="U176" s="15"/>
      <c r="V176" s="15"/>
      <c r="W176" s="15"/>
      <c r="X176" s="15"/>
      <c r="Y176" s="15"/>
      <c r="Z176" s="15"/>
      <c r="AA176" s="15"/>
      <c r="AB176" s="15"/>
      <c r="AC176" s="15"/>
      <c r="AD176" s="15"/>
      <c r="AI176" s="95">
        <f t="shared" si="25"/>
        <v>195.73775618671152</v>
      </c>
      <c r="AJ176" s="96">
        <f t="shared" si="26"/>
        <v>0.63019460607060318</v>
      </c>
      <c r="AK176" s="92">
        <f t="shared" si="27"/>
        <v>51353.719455879109</v>
      </c>
      <c r="AL176" s="96">
        <f>((AK176)/(101325))*(1-(0.43+0.014*'Drag Polar'!$D$31)*SQRT(AJ176))</f>
        <v>0.30565207380392195</v>
      </c>
      <c r="AN176" s="92"/>
      <c r="AO176" s="95">
        <f t="shared" si="28"/>
        <v>73.889050858261086</v>
      </c>
      <c r="AP176" s="96">
        <f t="shared" si="29"/>
        <v>0.2171309373387148</v>
      </c>
      <c r="AQ176" s="92">
        <f t="shared" si="30"/>
        <v>104708.53606349796</v>
      </c>
      <c r="AR176" s="96">
        <f>((AQ176)/(101325))*(1-(0.43+0.014*'Drag Polar'!$D$31)*SQRT(AP176))</f>
        <v>0.79262625288874466</v>
      </c>
      <c r="AS176" s="92"/>
      <c r="AT176" s="92"/>
      <c r="AU176" s="95">
        <f t="shared" si="31"/>
        <v>82.610470256005485</v>
      </c>
      <c r="AV176" s="96">
        <f t="shared" si="32"/>
        <v>0.2427597679538068</v>
      </c>
      <c r="AW176" s="92">
        <f t="shared" si="33"/>
        <v>105566.86761147121</v>
      </c>
      <c r="AX176" s="96">
        <f>((AW176)/(101325))*(1-(0.43+0.014*'Drag Polar'!$D$31)*SQRT(AV176))</f>
        <v>0.78519736277256924</v>
      </c>
      <c r="AY176" s="92"/>
      <c r="AZ176" s="92"/>
      <c r="BA176" s="95">
        <f t="shared" si="34"/>
        <v>82.610470256005485</v>
      </c>
      <c r="BB176" s="96">
        <f t="shared" si="35"/>
        <v>0.2427597679538068</v>
      </c>
      <c r="BC176" s="92">
        <f t="shared" si="36"/>
        <v>105566.86761147121</v>
      </c>
      <c r="BD176" s="96">
        <f>((BC176)/(101325))*(1-(0.43+0.014*'Drag Polar'!$D$31)*SQRT(BB176))</f>
        <v>0.78519736277256924</v>
      </c>
      <c r="BE176" s="92"/>
      <c r="BF176" s="92"/>
      <c r="BG176" s="95">
        <f t="shared" si="37"/>
        <v>82.610470256005485</v>
      </c>
      <c r="BH176" s="96">
        <f t="shared" si="38"/>
        <v>0.2427597679538068</v>
      </c>
      <c r="BI176" s="92">
        <f t="shared" si="39"/>
        <v>105566.86761147121</v>
      </c>
      <c r="BJ176" s="96">
        <f>((BI176)/(101325))*(1-(0.43+0.014*'Drag Polar'!$D$31)*SQRT(BH176))</f>
        <v>0.78519736277256924</v>
      </c>
      <c r="BK176" s="92"/>
      <c r="BL176" s="92"/>
      <c r="BM176" s="95">
        <f t="shared" si="40"/>
        <v>73.889050858261086</v>
      </c>
      <c r="BN176" s="96">
        <f t="shared" si="41"/>
        <v>0.2171309373387148</v>
      </c>
      <c r="BO176" s="92">
        <f t="shared" si="42"/>
        <v>104708.53606349796</v>
      </c>
      <c r="BP176" s="96">
        <f>((BO176)/(101325))*(1-(0.43+0.014*'Drag Polar'!$D$31)*SQRT(BN176))</f>
        <v>0.79262625288874466</v>
      </c>
      <c r="BQ176" s="92"/>
      <c r="BR176" s="92"/>
      <c r="BS176" s="95">
        <f t="shared" si="43"/>
        <v>195.73775618671152</v>
      </c>
      <c r="BT176" s="96">
        <f t="shared" si="44"/>
        <v>0.63019460607060318</v>
      </c>
      <c r="BU176" s="92">
        <f t="shared" si="45"/>
        <v>51353.719455879109</v>
      </c>
      <c r="BV176" s="96">
        <f>((BU176)/(101325))*(1-(0.43+0.014*'Drag Polar'!$D$31)*SQRT(BT176))</f>
        <v>0.30565207380392195</v>
      </c>
      <c r="BW176" s="92"/>
      <c r="BX176" s="92"/>
      <c r="BY176" s="92"/>
    </row>
    <row r="177" spans="1:77">
      <c r="A177" s="15"/>
      <c r="B177" s="88">
        <v>7700</v>
      </c>
      <c r="C177" s="89">
        <f t="shared" si="23"/>
        <v>5379.4075927863296</v>
      </c>
      <c r="D177" s="89">
        <f t="shared" si="24"/>
        <v>5788.633461047255</v>
      </c>
      <c r="E177" s="90">
        <f>(TLAR!$B$21/$AN$96)*(('Drag Polar'!$D$39*0.5*(1.225*0.3345)*Sheet1!$C$5^2)/(TLAR!$B$21*B177)+(TLAR!$B$21*B177)/('Drag Polar'!$D$26*PI()*'Drag Polar'!$D$6*0.5*(1.225*0.3345)*Sheet1!$C$5^2))</f>
        <v>0.27877672719752927</v>
      </c>
      <c r="F177" s="90">
        <f>((TLAR!$B$21/AL177))*(SQRT(($D$47^2*(1.225*0.3345)*SQRT(Sheet1!$C$9))/((TLAR!$B$21*B177*2)))+2*SQRT(Sheet1!$C$10))</f>
        <v>0.25760284202646971</v>
      </c>
      <c r="G177" s="97">
        <f>((TLAR!$B$40)/(TLAR!$B$40-0))*(TLAR!$F$6/AR177)*((TLAR!$F$11*0.01)+2*SQRT(($D$64)/(PI()*'Drag Polar'!$D$6*$D$65)))</f>
        <v>0.18764108266072482</v>
      </c>
      <c r="H177" s="97">
        <f>((TLAR!$B$40)/(TLAR!$B$40-1))*(TLAR!$F$14/AX177)*((TLAR!$F$19*0.01)+2*SQRT(($E$64)/(PI()*'Drag Polar'!$D$6*$E$65)))</f>
        <v>0.26529924658165038</v>
      </c>
      <c r="I177" s="97">
        <f>((TLAR!$B$40)/(TLAR!$B$40-1))*(TLAR!$F$21/BD177)*((TLAR!$F$26*0.01)+2*SQRT(($F$64)/(PI()*'Drag Polar'!$D$6*$F$65)))</f>
        <v>0.28385386912916455</v>
      </c>
      <c r="J177" s="97">
        <f>((TLAR!$B$40)/(TLAR!$B$40-1))*(TLAR!$F$28/BJ177)*((TLAR!$F$33*0.01)+2*SQRT(($G$64)/(PI()*'Drag Polar'!$D$6*$G$65)))</f>
        <v>0.18911490833758995</v>
      </c>
      <c r="K177" s="97">
        <f>((TLAR!$B$40)/(TLAR!$B$40-1))*(TLAR!$F$35/BP177)*((TLAR!$F$40*0.01)+2*SQRT(($H$64)/(PI()*'Drag Polar'!$D$6*$H$65)))</f>
        <v>0.23553501325350334</v>
      </c>
      <c r="L177" s="15">
        <f>1.15*SQRT(((TLAR!$B$40)/(TLAR!$B$40-1))*((B177)/($D$73*0.85*1.225*9.81*PI()*'Drag Polar'!$E$42*'Drag Polar'!$D$6)))+((TLAR!$B$40)/(TLAR!$B$40-1))*((4*11)/($D$73))</f>
        <v>0.20538279227879774</v>
      </c>
      <c r="M177" s="15"/>
      <c r="N177" s="15"/>
      <c r="O177" s="15"/>
      <c r="P177" s="15"/>
      <c r="Q177" s="15"/>
      <c r="R177" s="15"/>
      <c r="S177" s="15"/>
      <c r="T177" s="15"/>
      <c r="U177" s="15"/>
      <c r="V177" s="15"/>
      <c r="W177" s="15"/>
      <c r="X177" s="15"/>
      <c r="Y177" s="15"/>
      <c r="Z177" s="15"/>
      <c r="AA177" s="15"/>
      <c r="AB177" s="15"/>
      <c r="AC177" s="15"/>
      <c r="AD177" s="15"/>
      <c r="AI177" s="95">
        <f t="shared" si="25"/>
        <v>197.02129620964089</v>
      </c>
      <c r="AJ177" s="96">
        <f t="shared" si="26"/>
        <v>0.63432707399546417</v>
      </c>
      <c r="AK177" s="92">
        <f t="shared" si="27"/>
        <v>51527.95516347084</v>
      </c>
      <c r="AL177" s="96">
        <f>((AK177)/(101325))*(1-(0.43+0.014*'Drag Polar'!$D$31)*SQRT(AJ177))</f>
        <v>0.30602837047281722</v>
      </c>
      <c r="AN177" s="92"/>
      <c r="AO177" s="95">
        <f t="shared" si="28"/>
        <v>74.373574416109463</v>
      </c>
      <c r="AP177" s="96">
        <f t="shared" si="29"/>
        <v>0.21855476201985893</v>
      </c>
      <c r="AQ177" s="92">
        <f t="shared" si="30"/>
        <v>104753.58668867413</v>
      </c>
      <c r="AR177" s="96">
        <f>((AQ177)/(101325))*(1-(0.43+0.014*'Drag Polar'!$D$31)*SQRT(AP177))</f>
        <v>0.79217882214608082</v>
      </c>
      <c r="AS177" s="92"/>
      <c r="AT177" s="92"/>
      <c r="AU177" s="95">
        <f t="shared" si="31"/>
        <v>83.152184062029988</v>
      </c>
      <c r="AV177" s="96">
        <f t="shared" si="32"/>
        <v>0.2443516523413469</v>
      </c>
      <c r="AW177" s="92">
        <f t="shared" si="33"/>
        <v>105623.51238634702</v>
      </c>
      <c r="AX177" s="96">
        <f>((AW177)/(101325))*(1-(0.43+0.014*'Drag Polar'!$D$31)*SQRT(AV177))</f>
        <v>0.78477806714465081</v>
      </c>
      <c r="AY177" s="92"/>
      <c r="AZ177" s="92"/>
      <c r="BA177" s="95">
        <f t="shared" si="34"/>
        <v>83.152184062029988</v>
      </c>
      <c r="BB177" s="96">
        <f t="shared" si="35"/>
        <v>0.2443516523413469</v>
      </c>
      <c r="BC177" s="92">
        <f t="shared" si="36"/>
        <v>105623.51238634702</v>
      </c>
      <c r="BD177" s="96">
        <f>((BC177)/(101325))*(1-(0.43+0.014*'Drag Polar'!$D$31)*SQRT(BB177))</f>
        <v>0.78477806714465081</v>
      </c>
      <c r="BE177" s="92"/>
      <c r="BF177" s="92"/>
      <c r="BG177" s="95">
        <f t="shared" si="37"/>
        <v>83.152184062029988</v>
      </c>
      <c r="BH177" s="96">
        <f t="shared" si="38"/>
        <v>0.2443516523413469</v>
      </c>
      <c r="BI177" s="92">
        <f t="shared" si="39"/>
        <v>105623.51238634702</v>
      </c>
      <c r="BJ177" s="96">
        <f>((BI177)/(101325))*(1-(0.43+0.014*'Drag Polar'!$D$31)*SQRT(BH177))</f>
        <v>0.78477806714465081</v>
      </c>
      <c r="BK177" s="92"/>
      <c r="BL177" s="92"/>
      <c r="BM177" s="95">
        <f t="shared" si="40"/>
        <v>74.373574416109463</v>
      </c>
      <c r="BN177" s="96">
        <f t="shared" si="41"/>
        <v>0.21855476201985893</v>
      </c>
      <c r="BO177" s="92">
        <f t="shared" si="42"/>
        <v>104753.58668867413</v>
      </c>
      <c r="BP177" s="96">
        <f>((BO177)/(101325))*(1-(0.43+0.014*'Drag Polar'!$D$31)*SQRT(BN177))</f>
        <v>0.79217882214608082</v>
      </c>
      <c r="BQ177" s="92"/>
      <c r="BR177" s="92"/>
      <c r="BS177" s="95">
        <f t="shared" si="43"/>
        <v>197.02129620964089</v>
      </c>
      <c r="BT177" s="96">
        <f t="shared" si="44"/>
        <v>0.63432707399546417</v>
      </c>
      <c r="BU177" s="92">
        <f t="shared" si="45"/>
        <v>51527.95516347084</v>
      </c>
      <c r="BV177" s="96">
        <f>((BU177)/(101325))*(1-(0.43+0.014*'Drag Polar'!$D$31)*SQRT(BT177))</f>
        <v>0.30602837047281722</v>
      </c>
      <c r="BW177" s="92"/>
      <c r="BX177" s="92"/>
      <c r="BY177" s="92"/>
    </row>
    <row r="178" spans="1:77">
      <c r="A178" s="15"/>
      <c r="B178" s="88">
        <v>7800</v>
      </c>
      <c r="C178" s="89">
        <f t="shared" si="23"/>
        <v>5379.4075927863296</v>
      </c>
      <c r="D178" s="89">
        <f t="shared" si="24"/>
        <v>5788.633461047255</v>
      </c>
      <c r="E178" s="90">
        <f>(TLAR!$B$21/$AN$96)*(('Drag Polar'!$D$39*0.5*(1.225*0.3345)*Sheet1!$C$5^2)/(TLAR!$B$21*B178)+(TLAR!$B$21*B178)/('Drag Polar'!$D$26*PI()*'Drag Polar'!$D$6*0.5*(1.225*0.3345)*Sheet1!$C$5^2))</f>
        <v>0.27821725295247968</v>
      </c>
      <c r="F178" s="90">
        <f>((TLAR!$B$21/AL178))*(SQRT(($D$47^2*(1.225*0.3345)*SQRT(Sheet1!$C$9))/((TLAR!$B$21*B178*2)))+2*SQRT(Sheet1!$C$10))</f>
        <v>0.25686848393806022</v>
      </c>
      <c r="G178" s="97">
        <f>((TLAR!$B$40)/(TLAR!$B$40-0))*(TLAR!$F$6/AR178)*((TLAR!$F$11*0.01)+2*SQRT(($D$64)/(PI()*'Drag Polar'!$D$6*$D$65)))</f>
        <v>0.18774544704901286</v>
      </c>
      <c r="H178" s="97">
        <f>((TLAR!$B$40)/(TLAR!$B$40-1))*(TLAR!$F$14/AX178)*((TLAR!$F$19*0.01)+2*SQRT(($E$64)/(PI()*'Drag Polar'!$D$6*$E$65)))</f>
        <v>0.26543855951787731</v>
      </c>
      <c r="I178" s="97">
        <f>((TLAR!$B$40)/(TLAR!$B$40-1))*(TLAR!$F$21/BD178)*((TLAR!$F$26*0.01)+2*SQRT(($F$64)/(PI()*'Drag Polar'!$D$6*$F$65)))</f>
        <v>0.28400292539855576</v>
      </c>
      <c r="J178" s="97">
        <f>((TLAR!$B$40)/(TLAR!$B$40-1))*(TLAR!$F$28/BJ178)*((TLAR!$F$33*0.01)+2*SQRT(($G$64)/(PI()*'Drag Polar'!$D$6*$G$65)))</f>
        <v>0.18921421564247023</v>
      </c>
      <c r="K178" s="97">
        <f>((TLAR!$B$40)/(TLAR!$B$40-1))*(TLAR!$F$35/BP178)*((TLAR!$F$40*0.01)+2*SQRT(($H$64)/(PI()*'Drag Polar'!$D$6*$H$65)))</f>
        <v>0.23566601584222246</v>
      </c>
      <c r="L178" s="15">
        <f>1.15*SQRT(((TLAR!$B$40)/(TLAR!$B$40-1))*((B178)/($D$73*0.85*1.225*9.81*PI()*'Drag Polar'!$E$42*'Drag Polar'!$D$6)))+((TLAR!$B$40)/(TLAR!$B$40-1))*((4*11)/($D$73))</f>
        <v>0.20649961281423762</v>
      </c>
      <c r="M178" s="15"/>
      <c r="N178" s="15"/>
      <c r="O178" s="15"/>
      <c r="P178" s="15"/>
      <c r="Q178" s="15"/>
      <c r="R178" s="15"/>
      <c r="S178" s="15"/>
      <c r="T178" s="15"/>
      <c r="U178" s="15"/>
      <c r="V178" s="15"/>
      <c r="W178" s="15"/>
      <c r="X178" s="15"/>
      <c r="Y178" s="15"/>
      <c r="Z178" s="15"/>
      <c r="AA178" s="15"/>
      <c r="AB178" s="15"/>
      <c r="AC178" s="15"/>
      <c r="AD178" s="15"/>
      <c r="AI178" s="95">
        <f t="shared" si="25"/>
        <v>198.29652826826191</v>
      </c>
      <c r="AJ178" s="96">
        <f t="shared" si="26"/>
        <v>0.63843279371192341</v>
      </c>
      <c r="AK178" s="92">
        <f t="shared" si="27"/>
        <v>51702.612716876749</v>
      </c>
      <c r="AL178" s="96">
        <f>((AK178)/(101325))*(1-(0.43+0.014*'Drag Polar'!$D$31)*SQRT(AJ178))</f>
        <v>0.30640912516013846</v>
      </c>
      <c r="AN178" s="92"/>
      <c r="AO178" s="95">
        <f t="shared" si="28"/>
        <v>74.854961800287157</v>
      </c>
      <c r="AP178" s="96">
        <f t="shared" si="29"/>
        <v>0.2199693707167556</v>
      </c>
      <c r="AQ178" s="92">
        <f t="shared" si="30"/>
        <v>104798.65115710268</v>
      </c>
      <c r="AR178" s="96">
        <f>((AQ178)/(101325))*(1-(0.43+0.014*'Drag Polar'!$D$31)*SQRT(AP178))</f>
        <v>0.79173846388713232</v>
      </c>
      <c r="AS178" s="92"/>
      <c r="AT178" s="92"/>
      <c r="AU178" s="95">
        <f t="shared" si="31"/>
        <v>83.690391519296057</v>
      </c>
      <c r="AV178" s="96">
        <f t="shared" si="32"/>
        <v>0.24593323294525857</v>
      </c>
      <c r="AW178" s="92">
        <f t="shared" si="33"/>
        <v>105680.17886810593</v>
      </c>
      <c r="AX178" s="96">
        <f>((AW178)/(101325))*(1-(0.43+0.014*'Drag Polar'!$D$31)*SQRT(AV178))</f>
        <v>0.7843661837430117</v>
      </c>
      <c r="AY178" s="92"/>
      <c r="AZ178" s="92"/>
      <c r="BA178" s="95">
        <f t="shared" si="34"/>
        <v>83.690391519296057</v>
      </c>
      <c r="BB178" s="96">
        <f t="shared" si="35"/>
        <v>0.24593323294525857</v>
      </c>
      <c r="BC178" s="92">
        <f t="shared" si="36"/>
        <v>105680.17886810593</v>
      </c>
      <c r="BD178" s="96">
        <f>((BC178)/(101325))*(1-(0.43+0.014*'Drag Polar'!$D$31)*SQRT(BB178))</f>
        <v>0.7843661837430117</v>
      </c>
      <c r="BE178" s="92"/>
      <c r="BF178" s="92"/>
      <c r="BG178" s="95">
        <f t="shared" si="37"/>
        <v>83.690391519296057</v>
      </c>
      <c r="BH178" s="96">
        <f t="shared" si="38"/>
        <v>0.24593323294525857</v>
      </c>
      <c r="BI178" s="92">
        <f t="shared" si="39"/>
        <v>105680.17886810593</v>
      </c>
      <c r="BJ178" s="96">
        <f>((BI178)/(101325))*(1-(0.43+0.014*'Drag Polar'!$D$31)*SQRT(BH178))</f>
        <v>0.7843661837430117</v>
      </c>
      <c r="BK178" s="92"/>
      <c r="BL178" s="92"/>
      <c r="BM178" s="95">
        <f t="shared" si="40"/>
        <v>74.854961800287157</v>
      </c>
      <c r="BN178" s="96">
        <f t="shared" si="41"/>
        <v>0.2199693707167556</v>
      </c>
      <c r="BO178" s="92">
        <f t="shared" si="42"/>
        <v>104798.65115710268</v>
      </c>
      <c r="BP178" s="96">
        <f>((BO178)/(101325))*(1-(0.43+0.014*'Drag Polar'!$D$31)*SQRT(BN178))</f>
        <v>0.79173846388713232</v>
      </c>
      <c r="BQ178" s="92"/>
      <c r="BR178" s="92"/>
      <c r="BS178" s="95">
        <f t="shared" si="43"/>
        <v>198.29652826826191</v>
      </c>
      <c r="BT178" s="96">
        <f t="shared" si="44"/>
        <v>0.63843279371192341</v>
      </c>
      <c r="BU178" s="92">
        <f t="shared" si="45"/>
        <v>51702.612716876749</v>
      </c>
      <c r="BV178" s="96">
        <f>((BU178)/(101325))*(1-(0.43+0.014*'Drag Polar'!$D$31)*SQRT(BT178))</f>
        <v>0.30640912516013846</v>
      </c>
      <c r="BW178" s="92"/>
      <c r="BX178" s="92"/>
      <c r="BY178" s="92"/>
    </row>
    <row r="179" spans="1:77">
      <c r="A179" s="15"/>
      <c r="B179" s="88">
        <v>7900</v>
      </c>
      <c r="C179" s="89">
        <f t="shared" si="23"/>
        <v>5379.4075927863296</v>
      </c>
      <c r="D179" s="89">
        <f t="shared" si="24"/>
        <v>5788.633461047255</v>
      </c>
      <c r="E179" s="90">
        <f>(TLAR!$B$21/$AN$96)*(('Drag Polar'!$D$39*0.5*(1.225*0.3345)*Sheet1!$C$5^2)/(TLAR!$B$21*B179)+(TLAR!$B$21*B179)/('Drag Polar'!$D$26*PI()*'Drag Polar'!$D$6*0.5*(1.225*0.3345)*Sheet1!$C$5^2))</f>
        <v>0.27771034812254913</v>
      </c>
      <c r="F179" s="90">
        <f>((TLAR!$B$21/AL179))*(SQRT(($D$47^2*(1.225*0.3345)*SQRT(Sheet1!$C$9))/((TLAR!$B$21*B179*2)))+2*SQRT(Sheet1!$C$10))</f>
        <v>0.25614018372871977</v>
      </c>
      <c r="G179" s="97">
        <f>((TLAR!$B$40)/(TLAR!$B$40-0))*(TLAR!$F$6/AR179)*((TLAR!$F$11*0.01)+2*SQRT(($D$64)/(PI()*'Drag Polar'!$D$6*$D$65)))</f>
        <v>0.18784828691575495</v>
      </c>
      <c r="H179" s="97">
        <f>((TLAR!$B$40)/(TLAR!$B$40-1))*(TLAR!$F$14/AX179)*((TLAR!$F$19*0.01)+2*SQRT(($E$64)/(PI()*'Drag Polar'!$D$6*$E$65)))</f>
        <v>0.26557556526864068</v>
      </c>
      <c r="I179" s="97">
        <f>((TLAR!$B$40)/(TLAR!$B$40-1))*(TLAR!$F$21/BD179)*((TLAR!$F$26*0.01)+2*SQRT(($F$64)/(PI()*'Drag Polar'!$D$6*$F$65)))</f>
        <v>0.28414951312146947</v>
      </c>
      <c r="J179" s="97">
        <f>((TLAR!$B$40)/(TLAR!$B$40-1))*(TLAR!$F$28/BJ179)*((TLAR!$F$33*0.01)+2*SQRT(($G$64)/(PI()*'Drag Polar'!$D$6*$G$65)))</f>
        <v>0.18931187830201859</v>
      </c>
      <c r="K179" s="97">
        <f>((TLAR!$B$40)/(TLAR!$B$40-1))*(TLAR!$F$35/BP179)*((TLAR!$F$40*0.01)+2*SQRT(($H$64)/(PI()*'Drag Polar'!$D$6*$H$65)))</f>
        <v>0.23579510478709867</v>
      </c>
      <c r="L179" s="15">
        <f>1.15*SQRT(((TLAR!$B$40)/(TLAR!$B$40-1))*((B179)/($D$73*0.85*1.225*9.81*PI()*'Drag Polar'!$E$42*'Drag Polar'!$D$6)))+((TLAR!$B$40)/(TLAR!$B$40-1))*((4*11)/($D$73))</f>
        <v>0.2076092968969821</v>
      </c>
      <c r="M179" s="15"/>
      <c r="N179" s="15"/>
      <c r="O179" s="15"/>
      <c r="P179" s="15"/>
      <c r="Q179" s="15"/>
      <c r="R179" s="15"/>
      <c r="S179" s="15"/>
      <c r="T179" s="15"/>
      <c r="U179" s="15"/>
      <c r="V179" s="15"/>
      <c r="W179" s="15"/>
      <c r="X179" s="15"/>
      <c r="Y179" s="15"/>
      <c r="Z179" s="15"/>
      <c r="AA179" s="15"/>
      <c r="AB179" s="15"/>
      <c r="AC179" s="15"/>
      <c r="AD179" s="15"/>
      <c r="AI179" s="95">
        <f t="shared" si="25"/>
        <v>199.56361162888419</v>
      </c>
      <c r="AJ179" s="96">
        <f t="shared" si="26"/>
        <v>0.64251227799161592</v>
      </c>
      <c r="AK179" s="92">
        <f t="shared" si="27"/>
        <v>51877.692728308211</v>
      </c>
      <c r="AL179" s="96">
        <f>((AK179)/(101325))*(1-(0.43+0.014*'Drag Polar'!$D$31)*SQRT(AJ179))</f>
        <v>0.30679424655768195</v>
      </c>
      <c r="AN179" s="92"/>
      <c r="AO179" s="95">
        <f t="shared" si="28"/>
        <v>75.333273132237707</v>
      </c>
      <c r="AP179" s="96">
        <f t="shared" si="29"/>
        <v>0.22137494010274453</v>
      </c>
      <c r="AQ179" s="92">
        <f t="shared" si="30"/>
        <v>104843.72947133576</v>
      </c>
      <c r="AR179" s="96">
        <f>((AQ179)/(101325))*(1-(0.43+0.014*'Drag Polar'!$D$31)*SQRT(AP179))</f>
        <v>0.79130501687807187</v>
      </c>
      <c r="AS179" s="92"/>
      <c r="AT179" s="92"/>
      <c r="AU179" s="95">
        <f t="shared" si="31"/>
        <v>84.225159845620993</v>
      </c>
      <c r="AV179" s="96">
        <f t="shared" si="32"/>
        <v>0.24750470729234048</v>
      </c>
      <c r="AW179" s="92">
        <f t="shared" si="33"/>
        <v>105736.86706173807</v>
      </c>
      <c r="AX179" s="96">
        <f>((AW179)/(101325))*(1-(0.43+0.014*'Drag Polar'!$D$31)*SQRT(AV179))</f>
        <v>0.78396154306092036</v>
      </c>
      <c r="AY179" s="92"/>
      <c r="AZ179" s="92"/>
      <c r="BA179" s="95">
        <f t="shared" si="34"/>
        <v>84.225159845620993</v>
      </c>
      <c r="BB179" s="96">
        <f t="shared" si="35"/>
        <v>0.24750470729234048</v>
      </c>
      <c r="BC179" s="92">
        <f t="shared" si="36"/>
        <v>105736.86706173807</v>
      </c>
      <c r="BD179" s="96">
        <f>((BC179)/(101325))*(1-(0.43+0.014*'Drag Polar'!$D$31)*SQRT(BB179))</f>
        <v>0.78396154306092036</v>
      </c>
      <c r="BE179" s="92"/>
      <c r="BF179" s="92"/>
      <c r="BG179" s="95">
        <f t="shared" si="37"/>
        <v>84.225159845620993</v>
      </c>
      <c r="BH179" s="96">
        <f t="shared" si="38"/>
        <v>0.24750470729234048</v>
      </c>
      <c r="BI179" s="92">
        <f t="shared" si="39"/>
        <v>105736.86706173807</v>
      </c>
      <c r="BJ179" s="96">
        <f>((BI179)/(101325))*(1-(0.43+0.014*'Drag Polar'!$D$31)*SQRT(BH179))</f>
        <v>0.78396154306092036</v>
      </c>
      <c r="BK179" s="92"/>
      <c r="BL179" s="92"/>
      <c r="BM179" s="95">
        <f t="shared" si="40"/>
        <v>75.333273132237707</v>
      </c>
      <c r="BN179" s="96">
        <f t="shared" si="41"/>
        <v>0.22137494010274453</v>
      </c>
      <c r="BO179" s="92">
        <f t="shared" si="42"/>
        <v>104843.72947133576</v>
      </c>
      <c r="BP179" s="96">
        <f>((BO179)/(101325))*(1-(0.43+0.014*'Drag Polar'!$D$31)*SQRT(BN179))</f>
        <v>0.79130501687807187</v>
      </c>
      <c r="BQ179" s="92"/>
      <c r="BR179" s="92"/>
      <c r="BS179" s="95">
        <f t="shared" si="43"/>
        <v>199.56361162888419</v>
      </c>
      <c r="BT179" s="96">
        <f t="shared" si="44"/>
        <v>0.64251227799161592</v>
      </c>
      <c r="BU179" s="92">
        <f t="shared" si="45"/>
        <v>51877.692728308211</v>
      </c>
      <c r="BV179" s="96">
        <f>((BU179)/(101325))*(1-(0.43+0.014*'Drag Polar'!$D$31)*SQRT(BT179))</f>
        <v>0.30679424655768195</v>
      </c>
      <c r="BW179" s="92"/>
      <c r="BX179" s="92"/>
      <c r="BY179" s="92"/>
    </row>
    <row r="180" spans="1:77">
      <c r="A180" s="15"/>
      <c r="B180" s="88">
        <v>8000</v>
      </c>
      <c r="C180" s="89">
        <f t="shared" si="23"/>
        <v>5379.4075927863296</v>
      </c>
      <c r="D180" s="89">
        <f t="shared" si="24"/>
        <v>5788.633461047255</v>
      </c>
      <c r="E180" s="90">
        <f>(TLAR!$B$21/$AN$96)*(('Drag Polar'!$D$39*0.5*(1.225*0.3345)*Sheet1!$C$5^2)/(TLAR!$B$21*B180)+(TLAR!$B$21*B180)/('Drag Polar'!$D$26*PI()*'Drag Polar'!$D$6*0.5*(1.225*0.3345)*Sheet1!$C$5^2))</f>
        <v>0.2772540413546708</v>
      </c>
      <c r="F180" s="90">
        <f>((TLAR!$B$21/AL180))*(SQRT(($D$47^2*(1.225*0.3345)*SQRT(Sheet1!$C$9))/((TLAR!$B$21*B180*2)))+2*SQRT(Sheet1!$C$10))</f>
        <v>0.2554177760766525</v>
      </c>
      <c r="G180" s="97">
        <f>((TLAR!$B$40)/(TLAR!$B$40-0))*(TLAR!$F$6/AR180)*((TLAR!$F$11*0.01)+2*SQRT(($D$64)/(PI()*'Drag Polar'!$D$6*$D$65)))</f>
        <v>0.18794963403638337</v>
      </c>
      <c r="H180" s="97">
        <f>((TLAR!$B$40)/(TLAR!$B$40-1))*(TLAR!$F$14/AX180)*((TLAR!$F$19*0.01)+2*SQRT(($E$64)/(PI()*'Drag Polar'!$D$6*$E$65)))</f>
        <v>0.2657103119288905</v>
      </c>
      <c r="I180" s="97">
        <f>((TLAR!$B$40)/(TLAR!$B$40-1))*(TLAR!$F$21/BD180)*((TLAR!$F$26*0.01)+2*SQRT(($F$64)/(PI()*'Drag Polar'!$D$6*$F$65)))</f>
        <v>0.28429368375654274</v>
      </c>
      <c r="J180" s="97">
        <f>((TLAR!$B$40)/(TLAR!$B$40-1))*(TLAR!$F$28/BJ180)*((TLAR!$F$33*0.01)+2*SQRT(($G$64)/(PI()*'Drag Polar'!$D$6*$G$65)))</f>
        <v>0.18940793060005665</v>
      </c>
      <c r="K180" s="97">
        <f>((TLAR!$B$40)/(TLAR!$B$40-1))*(TLAR!$F$35/BP180)*((TLAR!$F$40*0.01)+2*SQRT(($H$64)/(PI()*'Drag Polar'!$D$6*$H$65)))</f>
        <v>0.23592231997399662</v>
      </c>
      <c r="L180" s="15">
        <f>1.15*SQRT(((TLAR!$B$40)/(TLAR!$B$40-1))*((B180)/($D$73*0.85*1.225*9.81*PI()*'Drag Polar'!$E$42*'Drag Polar'!$D$6)))+((TLAR!$B$40)/(TLAR!$B$40-1))*((4*11)/($D$73))</f>
        <v>0.20871197960863164</v>
      </c>
      <c r="M180" s="15"/>
      <c r="N180" s="15"/>
      <c r="O180" s="15"/>
      <c r="P180" s="15"/>
      <c r="Q180" s="15"/>
      <c r="R180" s="15"/>
      <c r="S180" s="15"/>
      <c r="T180" s="15"/>
      <c r="U180" s="15"/>
      <c r="V180" s="15"/>
      <c r="W180" s="15"/>
      <c r="X180" s="15"/>
      <c r="Y180" s="15"/>
      <c r="Z180" s="15"/>
      <c r="AA180" s="15"/>
      <c r="AB180" s="15"/>
      <c r="AC180" s="15"/>
      <c r="AD180" s="15"/>
      <c r="AI180" s="95">
        <f t="shared" si="25"/>
        <v>200.82270053328796</v>
      </c>
      <c r="AJ180" s="96">
        <f t="shared" si="26"/>
        <v>0.64656602342927028</v>
      </c>
      <c r="AK180" s="92">
        <f t="shared" si="27"/>
        <v>52053.195810272322</v>
      </c>
      <c r="AL180" s="96">
        <f>((AK180)/(101325))*(1-(0.43+0.014*'Drag Polar'!$D$31)*SQRT(AJ180))</f>
        <v>0.30718364670036413</v>
      </c>
      <c r="AN180" s="92"/>
      <c r="AO180" s="95">
        <f t="shared" si="28"/>
        <v>75.808566636694849</v>
      </c>
      <c r="AP180" s="96">
        <f t="shared" si="29"/>
        <v>0.22277164127747945</v>
      </c>
      <c r="AQ180" s="92">
        <f t="shared" si="30"/>
        <v>104888.82163392527</v>
      </c>
      <c r="AR180" s="96">
        <f>((AQ180)/(101325))*(1-(0.43+0.014*'Drag Polar'!$D$31)*SQRT(AP180))</f>
        <v>0.79087832551785409</v>
      </c>
      <c r="AS180" s="92"/>
      <c r="AT180" s="92"/>
      <c r="AU180" s="95">
        <f t="shared" si="31"/>
        <v>84.75655413823614</v>
      </c>
      <c r="AV180" s="96">
        <f t="shared" si="32"/>
        <v>0.24906626667782109</v>
      </c>
      <c r="AW180" s="92">
        <f t="shared" si="33"/>
        <v>105793.57697223421</v>
      </c>
      <c r="AX180" s="96">
        <f>((AW180)/(101325))*(1-(0.43+0.014*'Drag Polar'!$D$31)*SQRT(AV180))</f>
        <v>0.78356398152510753</v>
      </c>
      <c r="AY180" s="92"/>
      <c r="AZ180" s="92"/>
      <c r="BA180" s="95">
        <f t="shared" si="34"/>
        <v>84.75655413823614</v>
      </c>
      <c r="BB180" s="96">
        <f t="shared" si="35"/>
        <v>0.24906626667782109</v>
      </c>
      <c r="BC180" s="92">
        <f t="shared" si="36"/>
        <v>105793.57697223421</v>
      </c>
      <c r="BD180" s="96">
        <f>((BC180)/(101325))*(1-(0.43+0.014*'Drag Polar'!$D$31)*SQRT(BB180))</f>
        <v>0.78356398152510753</v>
      </c>
      <c r="BE180" s="92"/>
      <c r="BF180" s="92"/>
      <c r="BG180" s="95">
        <f t="shared" si="37"/>
        <v>84.75655413823614</v>
      </c>
      <c r="BH180" s="96">
        <f t="shared" si="38"/>
        <v>0.24906626667782109</v>
      </c>
      <c r="BI180" s="92">
        <f t="shared" si="39"/>
        <v>105793.57697223421</v>
      </c>
      <c r="BJ180" s="96">
        <f>((BI180)/(101325))*(1-(0.43+0.014*'Drag Polar'!$D$31)*SQRT(BH180))</f>
        <v>0.78356398152510753</v>
      </c>
      <c r="BK180" s="92"/>
      <c r="BL180" s="92"/>
      <c r="BM180" s="95">
        <f t="shared" si="40"/>
        <v>75.808566636694849</v>
      </c>
      <c r="BN180" s="96">
        <f t="shared" si="41"/>
        <v>0.22277164127747945</v>
      </c>
      <c r="BO180" s="92">
        <f t="shared" si="42"/>
        <v>104888.82163392527</v>
      </c>
      <c r="BP180" s="96">
        <f>((BO180)/(101325))*(1-(0.43+0.014*'Drag Polar'!$D$31)*SQRT(BN180))</f>
        <v>0.79087832551785409</v>
      </c>
      <c r="BQ180" s="92"/>
      <c r="BR180" s="92"/>
      <c r="BS180" s="95">
        <f t="shared" si="43"/>
        <v>200.82270053328796</v>
      </c>
      <c r="BT180" s="96">
        <f t="shared" si="44"/>
        <v>0.64656602342927028</v>
      </c>
      <c r="BU180" s="92">
        <f t="shared" si="45"/>
        <v>52053.195810272322</v>
      </c>
      <c r="BV180" s="96">
        <f>((BU180)/(101325))*(1-(0.43+0.014*'Drag Polar'!$D$31)*SQRT(BT180))</f>
        <v>0.30718364670036413</v>
      </c>
      <c r="BW180" s="92"/>
      <c r="BX180" s="92"/>
      <c r="BY180" s="92"/>
    </row>
    <row r="181" spans="1:77">
      <c r="A181" s="15"/>
      <c r="B181" s="88">
        <v>8100</v>
      </c>
      <c r="C181" s="89">
        <f t="shared" si="23"/>
        <v>5379.4075927863296</v>
      </c>
      <c r="D181" s="89">
        <f t="shared" si="24"/>
        <v>5788.633461047255</v>
      </c>
      <c r="E181" s="90">
        <f>(TLAR!$B$21/$AN$96)*(('Drag Polar'!$D$39*0.5*(1.225*0.3345)*Sheet1!$C$5^2)/(TLAR!$B$21*B181)+(TLAR!$B$21*B181)/('Drag Polar'!$D$26*PI()*'Drag Polar'!$D$6*0.5*(1.225*0.3345)*Sheet1!$C$5^2))</f>
        <v>0.27684645864654617</v>
      </c>
      <c r="F181" s="90">
        <f>((TLAR!$B$21/AL181))*(SQRT(($D$47^2*(1.225*0.3345)*SQRT(Sheet1!$C$9))/((TLAR!$B$21*B181*2)))+2*SQRT(Sheet1!$C$10))</f>
        <v>0.25470110321683831</v>
      </c>
      <c r="G181" s="97">
        <f>((TLAR!$B$40)/(TLAR!$B$40-0))*(TLAR!$F$6/AR181)*((TLAR!$F$11*0.01)+2*SQRT(($D$64)/(PI()*'Drag Polar'!$D$6*$D$65)))</f>
        <v>0.18804951913516774</v>
      </c>
      <c r="H181" s="97">
        <f>((TLAR!$B$40)/(TLAR!$B$40-1))*(TLAR!$F$14/AX181)*((TLAR!$F$19*0.01)+2*SQRT(($E$64)/(PI()*'Drag Polar'!$D$6*$E$65)))</f>
        <v>0.2658428460085297</v>
      </c>
      <c r="I181" s="97">
        <f>((TLAR!$B$40)/(TLAR!$B$40-1))*(TLAR!$F$21/BD181)*((TLAR!$F$26*0.01)+2*SQRT(($F$64)/(PI()*'Drag Polar'!$D$6*$F$65)))</f>
        <v>0.2844354870665099</v>
      </c>
      <c r="J181" s="97">
        <f>((TLAR!$B$40)/(TLAR!$B$40-1))*(TLAR!$F$28/BJ181)*((TLAR!$F$33*0.01)+2*SQRT(($G$64)/(PI()*'Drag Polar'!$D$6*$G$65)))</f>
        <v>0.18950240569052726</v>
      </c>
      <c r="K181" s="97">
        <f>((TLAR!$B$40)/(TLAR!$B$40-1))*(TLAR!$F$35/BP181)*((TLAR!$F$40*0.01)+2*SQRT(($H$64)/(PI()*'Drag Polar'!$D$6*$H$65)))</f>
        <v>0.23604769996931743</v>
      </c>
      <c r="L181" s="15">
        <f>1.15*SQRT(((TLAR!$B$40)/(TLAR!$B$40-1))*((B181)/($D$73*0.85*1.225*9.81*PI()*'Drag Polar'!$E$42*'Drag Polar'!$D$6)))+((TLAR!$B$40)/(TLAR!$B$40-1))*((4*11)/($D$73))</f>
        <v>0.2098077918223468</v>
      </c>
      <c r="M181" s="15"/>
      <c r="N181" s="15"/>
      <c r="O181" s="15"/>
      <c r="P181" s="15"/>
      <c r="Q181" s="15"/>
      <c r="R181" s="15"/>
      <c r="S181" s="15"/>
      <c r="T181" s="15"/>
      <c r="U181" s="15"/>
      <c r="V181" s="15"/>
      <c r="W181" s="15"/>
      <c r="X181" s="15"/>
      <c r="Y181" s="15"/>
      <c r="Z181" s="15"/>
      <c r="AA181" s="15"/>
      <c r="AB181" s="15"/>
      <c r="AC181" s="15"/>
      <c r="AD181" s="15"/>
      <c r="AI181" s="95">
        <f t="shared" si="25"/>
        <v>202.07394441788182</v>
      </c>
      <c r="AJ181" s="96">
        <f t="shared" si="26"/>
        <v>0.65059451114830658</v>
      </c>
      <c r="AK181" s="92">
        <f t="shared" si="27"/>
        <v>52229.122575572059</v>
      </c>
      <c r="AL181" s="96">
        <f>((AK181)/(101325))*(1-(0.43+0.014*'Drag Polar'!$D$31)*SQRT(AJ181))</f>
        <v>0.30757724080544174</v>
      </c>
      <c r="AN181" s="92"/>
      <c r="AO181" s="95">
        <f t="shared" si="28"/>
        <v>76.280898724412538</v>
      </c>
      <c r="AP181" s="96">
        <f t="shared" si="29"/>
        <v>0.22415964001003899</v>
      </c>
      <c r="AQ181" s="92">
        <f t="shared" si="30"/>
        <v>104933.92764742371</v>
      </c>
      <c r="AR181" s="96">
        <f>((AQ181)/(101325))*(1-(0.43+0.014*'Drag Polar'!$D$31)*SQRT(AP181))</f>
        <v>0.79045823957435346</v>
      </c>
      <c r="AS181" s="92"/>
      <c r="AT181" s="92"/>
      <c r="AU181" s="95">
        <f t="shared" si="31"/>
        <v>85.284637466281708</v>
      </c>
      <c r="AV181" s="96">
        <f t="shared" si="32"/>
        <v>0.25061809643716443</v>
      </c>
      <c r="AW181" s="92">
        <f t="shared" si="33"/>
        <v>105850.30860458527</v>
      </c>
      <c r="AX181" s="96">
        <f>((AW181)/(101325))*(1-(0.43+0.014*'Drag Polar'!$D$31)*SQRT(AV181))</f>
        <v>0.78317334121753812</v>
      </c>
      <c r="AY181" s="92"/>
      <c r="AZ181" s="92"/>
      <c r="BA181" s="95">
        <f t="shared" si="34"/>
        <v>85.284637466281708</v>
      </c>
      <c r="BB181" s="96">
        <f t="shared" si="35"/>
        <v>0.25061809643716443</v>
      </c>
      <c r="BC181" s="92">
        <f t="shared" si="36"/>
        <v>105850.30860458527</v>
      </c>
      <c r="BD181" s="96">
        <f>((BC181)/(101325))*(1-(0.43+0.014*'Drag Polar'!$D$31)*SQRT(BB181))</f>
        <v>0.78317334121753812</v>
      </c>
      <c r="BE181" s="92"/>
      <c r="BF181" s="92"/>
      <c r="BG181" s="95">
        <f t="shared" si="37"/>
        <v>85.284637466281708</v>
      </c>
      <c r="BH181" s="96">
        <f t="shared" si="38"/>
        <v>0.25061809643716443</v>
      </c>
      <c r="BI181" s="92">
        <f t="shared" si="39"/>
        <v>105850.30860458527</v>
      </c>
      <c r="BJ181" s="96">
        <f>((BI181)/(101325))*(1-(0.43+0.014*'Drag Polar'!$D$31)*SQRT(BH181))</f>
        <v>0.78317334121753812</v>
      </c>
      <c r="BK181" s="92"/>
      <c r="BL181" s="92"/>
      <c r="BM181" s="95">
        <f t="shared" si="40"/>
        <v>76.280898724412538</v>
      </c>
      <c r="BN181" s="96">
        <f t="shared" si="41"/>
        <v>0.22415964001003899</v>
      </c>
      <c r="BO181" s="92">
        <f t="shared" si="42"/>
        <v>104933.92764742371</v>
      </c>
      <c r="BP181" s="96">
        <f>((BO181)/(101325))*(1-(0.43+0.014*'Drag Polar'!$D$31)*SQRT(BN181))</f>
        <v>0.79045823957435346</v>
      </c>
      <c r="BQ181" s="92"/>
      <c r="BR181" s="92"/>
      <c r="BS181" s="95">
        <f t="shared" si="43"/>
        <v>202.07394441788182</v>
      </c>
      <c r="BT181" s="96">
        <f t="shared" si="44"/>
        <v>0.65059451114830658</v>
      </c>
      <c r="BU181" s="92">
        <f t="shared" si="45"/>
        <v>52229.122575572059</v>
      </c>
      <c r="BV181" s="96">
        <f>((BU181)/(101325))*(1-(0.43+0.014*'Drag Polar'!$D$31)*SQRT(BT181))</f>
        <v>0.30757724080544174</v>
      </c>
      <c r="BW181" s="92"/>
      <c r="BX181" s="92"/>
      <c r="BY181" s="92"/>
    </row>
    <row r="182" spans="1:77">
      <c r="A182" s="15"/>
      <c r="B182" s="88">
        <v>8200</v>
      </c>
      <c r="C182" s="89">
        <f t="shared" si="23"/>
        <v>5379.4075927863296</v>
      </c>
      <c r="D182" s="89">
        <f t="shared" si="24"/>
        <v>5788.633461047255</v>
      </c>
      <c r="E182" s="90">
        <f>(TLAR!$B$21/$AN$96)*(('Drag Polar'!$D$39*0.5*(1.225*0.3345)*Sheet1!$C$5^2)/(TLAR!$B$21*B182)+(TLAR!$B$21*B182)/('Drag Polar'!$D$26*PI()*'Drag Polar'!$D$6*0.5*(1.225*0.3345)*Sheet1!$C$5^2))</f>
        <v>0.27648581741062345</v>
      </c>
      <c r="F182" s="90">
        <f>((TLAR!$B$21/AL182))*(SQRT(($D$47^2*(1.225*0.3345)*SQRT(Sheet1!$C$9))/((TLAR!$B$21*B182*2)))+2*SQRT(Sheet1!$C$10))</f>
        <v>0.25399001450581077</v>
      </c>
      <c r="G182" s="97">
        <f>((TLAR!$B$40)/(TLAR!$B$40-0))*(TLAR!$F$6/AR182)*((TLAR!$F$11*0.01)+2*SQRT(($D$64)/(PI()*'Drag Polar'!$D$6*$D$65)))</f>
        <v>0.18814797193268809</v>
      </c>
      <c r="H182" s="97">
        <f>((TLAR!$B$40)/(TLAR!$B$40-1))*(TLAR!$F$14/AX182)*((TLAR!$F$19*0.01)+2*SQRT(($E$64)/(PI()*'Drag Polar'!$D$6*$E$65)))</f>
        <v>0.26597321250384748</v>
      </c>
      <c r="I182" s="97">
        <f>((TLAR!$B$40)/(TLAR!$B$40-1))*(TLAR!$F$21/BD182)*((TLAR!$F$26*0.01)+2*SQRT(($F$64)/(PI()*'Drag Polar'!$D$6*$F$65)))</f>
        <v>0.28457497119463149</v>
      </c>
      <c r="J182" s="97">
        <f>((TLAR!$B$40)/(TLAR!$B$40-1))*(TLAR!$F$28/BJ182)*((TLAR!$F$33*0.01)+2*SQRT(($G$64)/(PI()*'Drag Polar'!$D$6*$G$65)))</f>
        <v>0.18959533564841435</v>
      </c>
      <c r="K182" s="97">
        <f>((TLAR!$B$40)/(TLAR!$B$40-1))*(TLAR!$F$35/BP182)*((TLAR!$F$40*0.01)+2*SQRT(($H$64)/(PI()*'Drag Polar'!$D$6*$H$65)))</f>
        <v>0.23617128207958873</v>
      </c>
      <c r="L182" s="15">
        <f>1.15*SQRT(((TLAR!$B$40)/(TLAR!$B$40-1))*((B182)/($D$73*0.85*1.225*9.81*PI()*'Drag Polar'!$E$42*'Drag Polar'!$D$6)))+((TLAR!$B$40)/(TLAR!$B$40-1))*((4*11)/($D$73))</f>
        <v>0.21089686038415045</v>
      </c>
      <c r="M182" s="15"/>
      <c r="N182" s="15"/>
      <c r="O182" s="15"/>
      <c r="P182" s="15"/>
      <c r="Q182" s="15"/>
      <c r="R182" s="15"/>
      <c r="S182" s="15"/>
      <c r="T182" s="15"/>
      <c r="U182" s="15"/>
      <c r="V182" s="15"/>
      <c r="W182" s="15"/>
      <c r="X182" s="15"/>
      <c r="Y182" s="15"/>
      <c r="Z182" s="15"/>
      <c r="AA182" s="15"/>
      <c r="AB182" s="15"/>
      <c r="AC182" s="15"/>
      <c r="AD182" s="15"/>
      <c r="AI182" s="95">
        <f t="shared" si="25"/>
        <v>203.31748812072146</v>
      </c>
      <c r="AJ182" s="96">
        <f t="shared" si="26"/>
        <v>0.65459820746735031</v>
      </c>
      <c r="AK182" s="92">
        <f t="shared" si="27"/>
        <v>52405.473637305833</v>
      </c>
      <c r="AL182" s="96">
        <f>((AK182)/(101325))*(1-(0.43+0.014*'Drag Polar'!$D$31)*SQRT(AJ182))</f>
        <v>0.30797494712128581</v>
      </c>
      <c r="AN182" s="92"/>
      <c r="AO182" s="95">
        <f t="shared" si="28"/>
        <v>76.750324070312288</v>
      </c>
      <c r="AP182" s="96">
        <f t="shared" si="29"/>
        <v>0.22553909696857113</v>
      </c>
      <c r="AQ182" s="92">
        <f t="shared" si="30"/>
        <v>104979.04751438329</v>
      </c>
      <c r="AR182" s="96">
        <f>((AQ182)/(101325))*(1-(0.43+0.014*'Drag Polar'!$D$31)*SQRT(AP182))</f>
        <v>0.79004461393592795</v>
      </c>
      <c r="AS182" s="92"/>
      <c r="AT182" s="92"/>
      <c r="AU182" s="95">
        <f t="shared" si="31"/>
        <v>85.809470958178323</v>
      </c>
      <c r="AV182" s="96">
        <f t="shared" si="32"/>
        <v>0.25216037620282095</v>
      </c>
      <c r="AW182" s="92">
        <f t="shared" si="33"/>
        <v>105907.06196378259</v>
      </c>
      <c r="AX182" s="96">
        <f>((AW182)/(101325))*(1-(0.43+0.014*'Drag Polar'!$D$31)*SQRT(AV182))</f>
        <v>0.78278946961347817</v>
      </c>
      <c r="AY182" s="92"/>
      <c r="AZ182" s="92"/>
      <c r="BA182" s="95">
        <f t="shared" si="34"/>
        <v>85.809470958178323</v>
      </c>
      <c r="BB182" s="96">
        <f t="shared" si="35"/>
        <v>0.25216037620282095</v>
      </c>
      <c r="BC182" s="92">
        <f t="shared" si="36"/>
        <v>105907.06196378259</v>
      </c>
      <c r="BD182" s="96">
        <f>((BC182)/(101325))*(1-(0.43+0.014*'Drag Polar'!$D$31)*SQRT(BB182))</f>
        <v>0.78278946961347817</v>
      </c>
      <c r="BE182" s="92"/>
      <c r="BF182" s="92"/>
      <c r="BG182" s="95">
        <f t="shared" si="37"/>
        <v>85.809470958178323</v>
      </c>
      <c r="BH182" s="96">
        <f t="shared" si="38"/>
        <v>0.25216037620282095</v>
      </c>
      <c r="BI182" s="92">
        <f t="shared" si="39"/>
        <v>105907.06196378259</v>
      </c>
      <c r="BJ182" s="96">
        <f>((BI182)/(101325))*(1-(0.43+0.014*'Drag Polar'!$D$31)*SQRT(BH182))</f>
        <v>0.78278946961347817</v>
      </c>
      <c r="BK182" s="92"/>
      <c r="BL182" s="92"/>
      <c r="BM182" s="95">
        <f t="shared" si="40"/>
        <v>76.750324070312288</v>
      </c>
      <c r="BN182" s="96">
        <f t="shared" si="41"/>
        <v>0.22553909696857113</v>
      </c>
      <c r="BO182" s="92">
        <f t="shared" si="42"/>
        <v>104979.04751438329</v>
      </c>
      <c r="BP182" s="96">
        <f>((BO182)/(101325))*(1-(0.43+0.014*'Drag Polar'!$D$31)*SQRT(BN182))</f>
        <v>0.79004461393592795</v>
      </c>
      <c r="BQ182" s="92"/>
      <c r="BR182" s="92"/>
      <c r="BS182" s="95">
        <f t="shared" si="43"/>
        <v>203.31748812072146</v>
      </c>
      <c r="BT182" s="96">
        <f t="shared" si="44"/>
        <v>0.65459820746735031</v>
      </c>
      <c r="BU182" s="92">
        <f t="shared" si="45"/>
        <v>52405.473637305833</v>
      </c>
      <c r="BV182" s="96">
        <f>((BU182)/(101325))*(1-(0.43+0.014*'Drag Polar'!$D$31)*SQRT(BT182))</f>
        <v>0.30797494712128581</v>
      </c>
      <c r="BW182" s="92"/>
      <c r="BX182" s="92"/>
      <c r="BY182" s="92"/>
    </row>
    <row r="183" spans="1:77">
      <c r="A183" s="15"/>
      <c r="B183" s="88">
        <v>8300</v>
      </c>
      <c r="C183" s="89">
        <f t="shared" si="23"/>
        <v>5379.4075927863296</v>
      </c>
      <c r="D183" s="89">
        <f t="shared" si="24"/>
        <v>5788.633461047255</v>
      </c>
      <c r="E183" s="90">
        <f>(TLAR!$B$21/$AN$96)*(('Drag Polar'!$D$39*0.5*(1.225*0.3345)*Sheet1!$C$5^2)/(TLAR!$B$21*B183)+(TLAR!$B$21*B183)/('Drag Polar'!$D$26*PI()*'Drag Polar'!$D$6*0.5*(1.225*0.3345)*Sheet1!$C$5^2))</f>
        <v>0.27617042096718453</v>
      </c>
      <c r="F183" s="90">
        <f>((TLAR!$B$21/AL183))*(SQRT(($D$47^2*(1.225*0.3345)*SQRT(Sheet1!$C$9))/((TLAR!$B$21*B183*2)))+2*SQRT(Sheet1!$C$10))</f>
        <v>0.25328436601618143</v>
      </c>
      <c r="G183" s="97">
        <f>((TLAR!$B$40)/(TLAR!$B$40-0))*(TLAR!$F$6/AR183)*((TLAR!$F$11*0.01)+2*SQRT(($D$64)/(PI()*'Drag Polar'!$D$6*$D$65)))</f>
        <v>0.18824502119060613</v>
      </c>
      <c r="H183" s="97">
        <f>((TLAR!$B$40)/(TLAR!$B$40-1))*(TLAR!$F$14/AX183)*((TLAR!$F$19*0.01)+2*SQRT(($E$64)/(PI()*'Drag Polar'!$D$6*$E$65)))</f>
        <v>0.26610145496489646</v>
      </c>
      <c r="I183" s="97">
        <f>((TLAR!$B$40)/(TLAR!$B$40-1))*(TLAR!$F$21/BD183)*((TLAR!$F$26*0.01)+2*SQRT(($F$64)/(PI()*'Drag Polar'!$D$6*$F$65)))</f>
        <v>0.28471218273678411</v>
      </c>
      <c r="J183" s="97">
        <f>((TLAR!$B$40)/(TLAR!$B$40-1))*(TLAR!$F$28/BJ183)*((TLAR!$F$33*0.01)+2*SQRT(($G$64)/(PI()*'Drag Polar'!$D$6*$G$65)))</f>
        <v>0.18968675151777228</v>
      </c>
      <c r="K183" s="97">
        <f>((TLAR!$B$40)/(TLAR!$B$40-1))*(TLAR!$F$35/BP183)*((TLAR!$F$40*0.01)+2*SQRT(($H$64)/(PI()*'Drag Polar'!$D$6*$H$65)))</f>
        <v>0.23629310240766313</v>
      </c>
      <c r="L183" s="15">
        <f>1.15*SQRT(((TLAR!$B$40)/(TLAR!$B$40-1))*((B183)/($D$73*0.85*1.225*9.81*PI()*'Drag Polar'!$E$42*'Drag Polar'!$D$6)))+((TLAR!$B$40)/(TLAR!$B$40-1))*((4*11)/($D$73))</f>
        <v>0.21197930828431011</v>
      </c>
      <c r="M183" s="15"/>
      <c r="N183" s="15"/>
      <c r="O183" s="15"/>
      <c r="P183" s="15"/>
      <c r="Q183" s="15"/>
      <c r="R183" s="15"/>
      <c r="S183" s="15"/>
      <c r="T183" s="15"/>
      <c r="U183" s="15"/>
      <c r="V183" s="15"/>
      <c r="W183" s="15"/>
      <c r="X183" s="15"/>
      <c r="Y183" s="15"/>
      <c r="Z183" s="15"/>
      <c r="AA183" s="15"/>
      <c r="AB183" s="15"/>
      <c r="AC183" s="15"/>
      <c r="AD183" s="15"/>
      <c r="AI183" s="95">
        <f t="shared" si="25"/>
        <v>204.55347207720101</v>
      </c>
      <c r="AJ183" s="96">
        <f t="shared" si="26"/>
        <v>0.65857756453027794</v>
      </c>
      <c r="AK183" s="92">
        <f t="shared" si="27"/>
        <v>52582.249608867678</v>
      </c>
      <c r="AL183" s="96">
        <f>((AK183)/(101325))*(1-(0.43+0.014*'Drag Polar'!$D$31)*SQRT(AJ183))</f>
        <v>0.30837668678504127</v>
      </c>
      <c r="AN183" s="92"/>
      <c r="AO183" s="95">
        <f t="shared" si="28"/>
        <v>77.216895687354821</v>
      </c>
      <c r="AP183" s="96">
        <f t="shared" si="29"/>
        <v>0.22691016793737298</v>
      </c>
      <c r="AQ183" s="92">
        <f t="shared" si="30"/>
        <v>105024.18123735671</v>
      </c>
      <c r="AR183" s="96">
        <f>((AQ183)/(101325))*(1-(0.43+0.014*'Drag Polar'!$D$31)*SQRT(AP183))</f>
        <v>0.78963730837735502</v>
      </c>
      <c r="AS183" s="92"/>
      <c r="AT183" s="92"/>
      <c r="AU183" s="95">
        <f t="shared" si="31"/>
        <v>86.331113884217871</v>
      </c>
      <c r="AV183" s="96">
        <f t="shared" si="32"/>
        <v>0.25369328014692966</v>
      </c>
      <c r="AW183" s="92">
        <f t="shared" si="33"/>
        <v>105963.83705481797</v>
      </c>
      <c r="AX183" s="96">
        <f>((AW183)/(101325))*(1-(0.43+0.014*'Drag Polar'!$D$31)*SQRT(AV183))</f>
        <v>0.78241221933470884</v>
      </c>
      <c r="AY183" s="92"/>
      <c r="AZ183" s="92"/>
      <c r="BA183" s="95">
        <f t="shared" si="34"/>
        <v>86.331113884217871</v>
      </c>
      <c r="BB183" s="96">
        <f t="shared" si="35"/>
        <v>0.25369328014692966</v>
      </c>
      <c r="BC183" s="92">
        <f t="shared" si="36"/>
        <v>105963.83705481797</v>
      </c>
      <c r="BD183" s="96">
        <f>((BC183)/(101325))*(1-(0.43+0.014*'Drag Polar'!$D$31)*SQRT(BB183))</f>
        <v>0.78241221933470884</v>
      </c>
      <c r="BE183" s="92"/>
      <c r="BF183" s="92"/>
      <c r="BG183" s="95">
        <f t="shared" si="37"/>
        <v>86.331113884217871</v>
      </c>
      <c r="BH183" s="96">
        <f t="shared" si="38"/>
        <v>0.25369328014692966</v>
      </c>
      <c r="BI183" s="92">
        <f t="shared" si="39"/>
        <v>105963.83705481797</v>
      </c>
      <c r="BJ183" s="96">
        <f>((BI183)/(101325))*(1-(0.43+0.014*'Drag Polar'!$D$31)*SQRT(BH183))</f>
        <v>0.78241221933470884</v>
      </c>
      <c r="BK183" s="92"/>
      <c r="BL183" s="92"/>
      <c r="BM183" s="95">
        <f t="shared" si="40"/>
        <v>77.216895687354821</v>
      </c>
      <c r="BN183" s="96">
        <f t="shared" si="41"/>
        <v>0.22691016793737298</v>
      </c>
      <c r="BO183" s="92">
        <f t="shared" si="42"/>
        <v>105024.18123735671</v>
      </c>
      <c r="BP183" s="96">
        <f>((BO183)/(101325))*(1-(0.43+0.014*'Drag Polar'!$D$31)*SQRT(BN183))</f>
        <v>0.78963730837735502</v>
      </c>
      <c r="BQ183" s="92"/>
      <c r="BR183" s="92"/>
      <c r="BS183" s="95">
        <f t="shared" si="43"/>
        <v>204.55347207720101</v>
      </c>
      <c r="BT183" s="96">
        <f t="shared" si="44"/>
        <v>0.65857756453027794</v>
      </c>
      <c r="BU183" s="92">
        <f t="shared" si="45"/>
        <v>52582.249608867678</v>
      </c>
      <c r="BV183" s="96">
        <f>((BU183)/(101325))*(1-(0.43+0.014*'Drag Polar'!$D$31)*SQRT(BT183))</f>
        <v>0.30837668678504127</v>
      </c>
      <c r="BW183" s="92"/>
      <c r="BX183" s="92"/>
      <c r="BY183" s="92"/>
    </row>
    <row r="184" spans="1:77">
      <c r="A184" s="15"/>
      <c r="B184" s="88">
        <v>8400</v>
      </c>
      <c r="C184" s="89">
        <f t="shared" si="23"/>
        <v>5379.4075927863296</v>
      </c>
      <c r="D184" s="89">
        <f t="shared" si="24"/>
        <v>5788.633461047255</v>
      </c>
      <c r="E184" s="90">
        <f>(TLAR!$B$21/$AN$96)*(('Drag Polar'!$D$39*0.5*(1.225*0.3345)*Sheet1!$C$5^2)/(TLAR!$B$21*B184)+(TLAR!$B$21*B184)/('Drag Polar'!$D$26*PI()*'Drag Polar'!$D$6*0.5*(1.225*0.3345)*Sheet1!$C$5^2))</f>
        <v>0.27589865343078346</v>
      </c>
      <c r="F184" s="90">
        <f>((TLAR!$B$21/AL184))*(SQRT(($D$47^2*(1.225*0.3345)*SQRT(Sheet1!$C$9))/((TLAR!$B$21*B184*2)))+2*SQRT(Sheet1!$C$10))</f>
        <v>0.25258402015856413</v>
      </c>
      <c r="G184" s="97">
        <f>((TLAR!$B$40)/(TLAR!$B$40-0))*(TLAR!$F$6/AR184)*((TLAR!$F$11*0.01)+2*SQRT(($D$64)/(PI()*'Drag Polar'!$D$6*$D$65)))</f>
        <v>0.18834069475392284</v>
      </c>
      <c r="H184" s="97">
        <f>((TLAR!$B$40)/(TLAR!$B$40-1))*(TLAR!$F$14/AX184)*((TLAR!$F$19*0.01)+2*SQRT(($E$64)/(PI()*'Drag Polar'!$D$6*$E$65)))</f>
        <v>0.26622761555909047</v>
      </c>
      <c r="I184" s="97">
        <f>((TLAR!$B$40)/(TLAR!$B$40-1))*(TLAR!$F$21/BD184)*((TLAR!$F$26*0.01)+2*SQRT(($F$64)/(PI()*'Drag Polar'!$D$6*$F$65)))</f>
        <v>0.28484716680950589</v>
      </c>
      <c r="J184" s="97">
        <f>((TLAR!$B$40)/(TLAR!$B$40-1))*(TLAR!$F$28/BJ184)*((TLAR!$F$33*0.01)+2*SQRT(($G$64)/(PI()*'Drag Polar'!$D$6*$G$65)))</f>
        <v>0.18977668335706033</v>
      </c>
      <c r="K184" s="97">
        <f>((TLAR!$B$40)/(TLAR!$B$40-1))*(TLAR!$F$35/BP184)*((TLAR!$F$40*0.01)+2*SQRT(($H$64)/(PI()*'Drag Polar'!$D$6*$H$65)))</f>
        <v>0.2364131959057621</v>
      </c>
      <c r="L184" s="15">
        <f>1.15*SQRT(((TLAR!$B$40)/(TLAR!$B$40-1))*((B184)/($D$73*0.85*1.225*9.81*PI()*'Drag Polar'!$E$42*'Drag Polar'!$D$6)))+((TLAR!$B$40)/(TLAR!$B$40-1))*((4*11)/($D$73))</f>
        <v>0.21305525481945506</v>
      </c>
      <c r="M184" s="15"/>
      <c r="N184" s="15"/>
      <c r="O184" s="15"/>
      <c r="P184" s="15"/>
      <c r="Q184" s="15"/>
      <c r="R184" s="15"/>
      <c r="S184" s="15"/>
      <c r="T184" s="15"/>
      <c r="U184" s="15"/>
      <c r="V184" s="15"/>
      <c r="W184" s="15"/>
      <c r="X184" s="15"/>
      <c r="Y184" s="15"/>
      <c r="Z184" s="15"/>
      <c r="AA184" s="15"/>
      <c r="AB184" s="15"/>
      <c r="AC184" s="15"/>
      <c r="AD184" s="15"/>
      <c r="AI184" s="95">
        <f t="shared" si="25"/>
        <v>205.78203250516501</v>
      </c>
      <c r="AJ184" s="96">
        <f t="shared" si="26"/>
        <v>0.66253302090220134</v>
      </c>
      <c r="AK184" s="92">
        <f t="shared" si="27"/>
        <v>52759.45110394674</v>
      </c>
      <c r="AL184" s="96">
        <f>((AK184)/(101325))*(1-(0.43+0.014*'Drag Polar'!$D$31)*SQRT(AJ184))</f>
        <v>0.30878238368854594</v>
      </c>
      <c r="AN184" s="92"/>
      <c r="AO184" s="95">
        <f t="shared" si="28"/>
        <v>77.68066499641796</v>
      </c>
      <c r="AP184" s="96">
        <f t="shared" si="29"/>
        <v>0.22827300402223452</v>
      </c>
      <c r="AQ184" s="92">
        <f t="shared" si="30"/>
        <v>105069.32881889679</v>
      </c>
      <c r="AR184" s="96">
        <f>((AQ184)/(101325))*(1-(0.43+0.014*'Drag Polar'!$D$31)*SQRT(AP184))</f>
        <v>0.78923618733912704</v>
      </c>
      <c r="AS184" s="92"/>
      <c r="AT184" s="92"/>
      <c r="AU184" s="95">
        <f t="shared" si="31"/>
        <v>86.849623734689501</v>
      </c>
      <c r="AV184" s="96">
        <f t="shared" si="32"/>
        <v>0.25521697721089964</v>
      </c>
      <c r="AW184" s="92">
        <f t="shared" si="33"/>
        <v>106020.6338826835</v>
      </c>
      <c r="AX184" s="96">
        <f>((AW184)/(101325))*(1-(0.43+0.014*'Drag Polar'!$D$31)*SQRT(AV184))</f>
        <v>0.78204144791684271</v>
      </c>
      <c r="AY184" s="92"/>
      <c r="AZ184" s="92"/>
      <c r="BA184" s="95">
        <f t="shared" si="34"/>
        <v>86.849623734689501</v>
      </c>
      <c r="BB184" s="96">
        <f t="shared" si="35"/>
        <v>0.25521697721089964</v>
      </c>
      <c r="BC184" s="92">
        <f t="shared" si="36"/>
        <v>106020.6338826835</v>
      </c>
      <c r="BD184" s="96">
        <f>((BC184)/(101325))*(1-(0.43+0.014*'Drag Polar'!$D$31)*SQRT(BB184))</f>
        <v>0.78204144791684271</v>
      </c>
      <c r="BE184" s="92"/>
      <c r="BF184" s="92"/>
      <c r="BG184" s="95">
        <f t="shared" si="37"/>
        <v>86.849623734689501</v>
      </c>
      <c r="BH184" s="96">
        <f t="shared" si="38"/>
        <v>0.25521697721089964</v>
      </c>
      <c r="BI184" s="92">
        <f t="shared" si="39"/>
        <v>106020.6338826835</v>
      </c>
      <c r="BJ184" s="96">
        <f>((BI184)/(101325))*(1-(0.43+0.014*'Drag Polar'!$D$31)*SQRT(BH184))</f>
        <v>0.78204144791684271</v>
      </c>
      <c r="BK184" s="92"/>
      <c r="BL184" s="92"/>
      <c r="BM184" s="95">
        <f t="shared" si="40"/>
        <v>77.68066499641796</v>
      </c>
      <c r="BN184" s="96">
        <f t="shared" si="41"/>
        <v>0.22827300402223452</v>
      </c>
      <c r="BO184" s="92">
        <f t="shared" si="42"/>
        <v>105069.32881889679</v>
      </c>
      <c r="BP184" s="96">
        <f>((BO184)/(101325))*(1-(0.43+0.014*'Drag Polar'!$D$31)*SQRT(BN184))</f>
        <v>0.78923618733912704</v>
      </c>
      <c r="BQ184" s="92"/>
      <c r="BR184" s="92"/>
      <c r="BS184" s="95">
        <f t="shared" si="43"/>
        <v>205.78203250516501</v>
      </c>
      <c r="BT184" s="96">
        <f t="shared" si="44"/>
        <v>0.66253302090220134</v>
      </c>
      <c r="BU184" s="92">
        <f t="shared" si="45"/>
        <v>52759.45110394674</v>
      </c>
      <c r="BV184" s="96">
        <f>((BU184)/(101325))*(1-(0.43+0.014*'Drag Polar'!$D$31)*SQRT(BT184))</f>
        <v>0.30878238368854594</v>
      </c>
      <c r="BW184" s="92"/>
      <c r="BX184" s="92"/>
      <c r="BY184" s="92"/>
    </row>
    <row r="185" spans="1:77">
      <c r="A185" s="15"/>
      <c r="B185" s="88">
        <v>8500</v>
      </c>
      <c r="C185" s="89">
        <f t="shared" si="23"/>
        <v>5379.4075927863296</v>
      </c>
      <c r="D185" s="89">
        <f t="shared" si="24"/>
        <v>5788.633461047255</v>
      </c>
      <c r="E185" s="90">
        <f>(TLAR!$B$21/$AN$96)*(('Drag Polar'!$D$39*0.5*(1.225*0.3345)*Sheet1!$C$5^2)/(TLAR!$B$21*B185)+(TLAR!$B$21*B185)/('Drag Polar'!$D$26*PI()*'Drag Polar'!$D$6*0.5*(1.225*0.3345)*Sheet1!$C$5^2))</f>
        <v>0.27566897495764248</v>
      </c>
      <c r="F185" s="90">
        <f>((TLAR!$B$21/AL185))*(SQRT(($D$47^2*(1.225*0.3345)*SQRT(Sheet1!$C$9))/((TLAR!$B$21*B185*2)))+2*SQRT(Sheet1!$C$10))</f>
        <v>0.25188884532875416</v>
      </c>
      <c r="G185" s="97">
        <f>((TLAR!$B$40)/(TLAR!$B$40-0))*(TLAR!$F$6/AR185)*((TLAR!$F$11*0.01)+2*SQRT(($D$64)/(PI()*'Drag Polar'!$D$6*$D$65)))</f>
        <v>0.18843501959089051</v>
      </c>
      <c r="H185" s="97">
        <f>((TLAR!$B$40)/(TLAR!$B$40-1))*(TLAR!$F$14/AX185)*((TLAR!$F$19*0.01)+2*SQRT(($E$64)/(PI()*'Drag Polar'!$D$6*$E$65)))</f>
        <v>0.26635173513127713</v>
      </c>
      <c r="I185" s="97">
        <f>((TLAR!$B$40)/(TLAR!$B$40-1))*(TLAR!$F$21/BD185)*((TLAR!$F$26*0.01)+2*SQRT(($F$64)/(PI()*'Drag Polar'!$D$6*$F$65)))</f>
        <v>0.28497996711427043</v>
      </c>
      <c r="J185" s="97">
        <f>((TLAR!$B$40)/(TLAR!$B$40-1))*(TLAR!$F$28/BJ185)*((TLAR!$F$33*0.01)+2*SQRT(($G$64)/(PI()*'Drag Polar'!$D$6*$G$65)))</f>
        <v>0.18986516028196465</v>
      </c>
      <c r="K185" s="97">
        <f>((TLAR!$B$40)/(TLAR!$B$40-1))*(TLAR!$F$35/BP185)*((TLAR!$F$40*0.01)+2*SQRT(($H$64)/(PI()*'Drag Polar'!$D$6*$H$65)))</f>
        <v>0.23653159642557525</v>
      </c>
      <c r="L185" s="15">
        <f>1.15*SQRT(((TLAR!$B$40)/(TLAR!$B$40-1))*((B185)/($D$73*0.85*1.225*9.81*PI()*'Drag Polar'!$E$42*'Drag Polar'!$D$6)))+((TLAR!$B$40)/(TLAR!$B$40-1))*((4*11)/($D$73))</f>
        <v>0.2141248157460337</v>
      </c>
      <c r="M185" s="15"/>
      <c r="N185" s="15"/>
      <c r="O185" s="15"/>
      <c r="P185" s="15"/>
      <c r="Q185" s="15"/>
      <c r="R185" s="15"/>
      <c r="S185" s="15"/>
      <c r="T185" s="15"/>
      <c r="U185" s="15"/>
      <c r="V185" s="15"/>
      <c r="W185" s="15"/>
      <c r="X185" s="15"/>
      <c r="Y185" s="15"/>
      <c r="Z185" s="15"/>
      <c r="AA185" s="15"/>
      <c r="AB185" s="15"/>
      <c r="AC185" s="15"/>
      <c r="AD185" s="15"/>
      <c r="AI185" s="95">
        <f t="shared" si="25"/>
        <v>207.00330158013259</v>
      </c>
      <c r="AJ185" s="96">
        <f t="shared" si="26"/>
        <v>0.66646500213361615</v>
      </c>
      <c r="AK185" s="92">
        <f t="shared" si="27"/>
        <v>52937.078736527517</v>
      </c>
      <c r="AL185" s="96">
        <f>((AK185)/(101325))*(1-(0.43+0.014*'Drag Polar'!$D$31)*SQRT(AJ185))</f>
        <v>0.30919196435194557</v>
      </c>
      <c r="AN185" s="92"/>
      <c r="AO185" s="95">
        <f t="shared" si="28"/>
        <v>78.141681892441952</v>
      </c>
      <c r="AP185" s="96">
        <f t="shared" si="29"/>
        <v>0.22962775184481374</v>
      </c>
      <c r="AQ185" s="92">
        <f t="shared" si="30"/>
        <v>105114.49026155623</v>
      </c>
      <c r="AR185" s="96">
        <f>((AQ185)/(101325))*(1-(0.43+0.014*'Drag Polar'!$D$31)*SQRT(AP185))</f>
        <v>0.78884111971920479</v>
      </c>
      <c r="AS185" s="92"/>
      <c r="AT185" s="92"/>
      <c r="AU185" s="95">
        <f t="shared" si="31"/>
        <v>87.365056293832311</v>
      </c>
      <c r="AV185" s="96">
        <f t="shared" si="32"/>
        <v>0.25673163132272814</v>
      </c>
      <c r="AW185" s="92">
        <f t="shared" si="33"/>
        <v>106077.45245237161</v>
      </c>
      <c r="AX185" s="96">
        <f>((AW185)/(101325))*(1-(0.43+0.014*'Drag Polar'!$D$31)*SQRT(AV185))</f>
        <v>0.78167701758977981</v>
      </c>
      <c r="AY185" s="92"/>
      <c r="AZ185" s="92"/>
      <c r="BA185" s="95">
        <f t="shared" si="34"/>
        <v>87.365056293832311</v>
      </c>
      <c r="BB185" s="96">
        <f t="shared" si="35"/>
        <v>0.25673163132272814</v>
      </c>
      <c r="BC185" s="92">
        <f t="shared" si="36"/>
        <v>106077.45245237161</v>
      </c>
      <c r="BD185" s="96">
        <f>((BC185)/(101325))*(1-(0.43+0.014*'Drag Polar'!$D$31)*SQRT(BB185))</f>
        <v>0.78167701758977981</v>
      </c>
      <c r="BE185" s="92"/>
      <c r="BF185" s="92"/>
      <c r="BG185" s="95">
        <f t="shared" si="37"/>
        <v>87.365056293832311</v>
      </c>
      <c r="BH185" s="96">
        <f t="shared" si="38"/>
        <v>0.25673163132272814</v>
      </c>
      <c r="BI185" s="92">
        <f t="shared" si="39"/>
        <v>106077.45245237161</v>
      </c>
      <c r="BJ185" s="96">
        <f>((BI185)/(101325))*(1-(0.43+0.014*'Drag Polar'!$D$31)*SQRT(BH185))</f>
        <v>0.78167701758977981</v>
      </c>
      <c r="BK185" s="92"/>
      <c r="BL185" s="92"/>
      <c r="BM185" s="95">
        <f t="shared" si="40"/>
        <v>78.141681892441952</v>
      </c>
      <c r="BN185" s="96">
        <f t="shared" si="41"/>
        <v>0.22962775184481374</v>
      </c>
      <c r="BO185" s="92">
        <f t="shared" si="42"/>
        <v>105114.49026155623</v>
      </c>
      <c r="BP185" s="96">
        <f>((BO185)/(101325))*(1-(0.43+0.014*'Drag Polar'!$D$31)*SQRT(BN185))</f>
        <v>0.78884111971920479</v>
      </c>
      <c r="BQ185" s="92"/>
      <c r="BR185" s="92"/>
      <c r="BS185" s="95">
        <f t="shared" si="43"/>
        <v>207.00330158013259</v>
      </c>
      <c r="BT185" s="96">
        <f t="shared" si="44"/>
        <v>0.66646500213361615</v>
      </c>
      <c r="BU185" s="92">
        <f t="shared" si="45"/>
        <v>52937.078736527517</v>
      </c>
      <c r="BV185" s="96">
        <f>((BU185)/(101325))*(1-(0.43+0.014*'Drag Polar'!$D$31)*SQRT(BT185))</f>
        <v>0.30919196435194557</v>
      </c>
      <c r="BW185" s="92"/>
      <c r="BX185" s="92"/>
      <c r="BY185" s="92"/>
    </row>
    <row r="186" spans="1:77">
      <c r="A186" s="15"/>
      <c r="B186" s="88">
        <v>8600</v>
      </c>
      <c r="C186" s="89">
        <f t="shared" si="23"/>
        <v>5379.4075927863296</v>
      </c>
      <c r="D186" s="89">
        <f t="shared" si="24"/>
        <v>5788.633461047255</v>
      </c>
      <c r="E186" s="90">
        <f>(TLAR!$B$21/$AN$96)*(('Drag Polar'!$D$39*0.5*(1.225*0.3345)*Sheet1!$C$5^2)/(TLAR!$B$21*B186)+(TLAR!$B$21*B186)/('Drag Polar'!$D$26*PI()*'Drag Polar'!$D$6*0.5*(1.225*0.3345)*Sheet1!$C$5^2))</f>
        <v>0.27547991732462462</v>
      </c>
      <c r="F186" s="90">
        <f>((TLAR!$B$21/AL186))*(SQRT(($D$47^2*(1.225*0.3345)*SQRT(Sheet1!$C$9))/((TLAR!$B$21*B186*2)))+2*SQRT(Sheet1!$C$10))</f>
        <v>0.25119871557821816</v>
      </c>
      <c r="G186" s="97">
        <f>((TLAR!$B$40)/(TLAR!$B$40-0))*(TLAR!$F$6/AR186)*((TLAR!$F$11*0.01)+2*SQRT(($D$64)/(PI()*'Drag Polar'!$D$6*$D$65)))</f>
        <v>0.18852802183073453</v>
      </c>
      <c r="H186" s="97">
        <f>((TLAR!$B$40)/(TLAR!$B$40-1))*(TLAR!$F$14/AX186)*((TLAR!$F$19*0.01)+2*SQRT(($E$64)/(PI()*'Drag Polar'!$D$6*$E$65)))</f>
        <v>0.26647385326051776</v>
      </c>
      <c r="I186" s="97">
        <f>((TLAR!$B$40)/(TLAR!$B$40-1))*(TLAR!$F$21/BD186)*((TLAR!$F$26*0.01)+2*SQRT(($F$64)/(PI()*'Drag Polar'!$D$6*$F$65)))</f>
        <v>0.28511062599823789</v>
      </c>
      <c r="J186" s="97">
        <f>((TLAR!$B$40)/(TLAR!$B$40-1))*(TLAR!$F$28/BJ186)*((TLAR!$F$33*0.01)+2*SQRT(($G$64)/(PI()*'Drag Polar'!$D$6*$G$65)))</f>
        <v>0.18995221050587319</v>
      </c>
      <c r="K186" s="97">
        <f>((TLAR!$B$40)/(TLAR!$B$40-1))*(TLAR!$F$35/BP186)*((TLAR!$F$40*0.01)+2*SQRT(($H$64)/(PI()*'Drag Polar'!$D$6*$H$65)))</f>
        <v>0.23664833676560973</v>
      </c>
      <c r="L186" s="15">
        <f>1.15*SQRT(((TLAR!$B$40)/(TLAR!$B$40-1))*((B186)/($D$73*0.85*1.225*9.81*PI()*'Drag Polar'!$E$42*'Drag Polar'!$D$6)))+((TLAR!$B$40)/(TLAR!$B$40-1))*((4*11)/($D$73))</f>
        <v>0.2151881034256698</v>
      </c>
      <c r="M186" s="15"/>
      <c r="N186" s="15"/>
      <c r="O186" s="15"/>
      <c r="P186" s="15"/>
      <c r="Q186" s="15"/>
      <c r="R186" s="15"/>
      <c r="S186" s="15"/>
      <c r="T186" s="15"/>
      <c r="U186" s="15"/>
      <c r="V186" s="15"/>
      <c r="W186" s="15"/>
      <c r="X186" s="15"/>
      <c r="Y186" s="15"/>
      <c r="Z186" s="15"/>
      <c r="AA186" s="15"/>
      <c r="AB186" s="15"/>
      <c r="AC186" s="15"/>
      <c r="AD186" s="15"/>
      <c r="AI186" s="95">
        <f t="shared" si="25"/>
        <v>208.21740760127108</v>
      </c>
      <c r="AJ186" s="96">
        <f t="shared" si="26"/>
        <v>0.67037392129476914</v>
      </c>
      <c r="AK186" s="92">
        <f t="shared" si="27"/>
        <v>53115.133120889353</v>
      </c>
      <c r="AL186" s="96">
        <f>((AK186)/(101325))*(1-(0.43+0.014*'Drag Polar'!$D$31)*SQRT(AJ186))</f>
        <v>0.30960535780447151</v>
      </c>
      <c r="AN186" s="92"/>
      <c r="AO186" s="95">
        <f t="shared" si="28"/>
        <v>78.599994807082965</v>
      </c>
      <c r="AP186" s="96">
        <f t="shared" si="29"/>
        <v>0.23097455372675069</v>
      </c>
      <c r="AQ186" s="92">
        <f t="shared" si="30"/>
        <v>105159.66556788827</v>
      </c>
      <c r="AR186" s="96">
        <f>((AQ186)/(101325))*(1-(0.43+0.014*'Drag Polar'!$D$31)*SQRT(AP186))</f>
        <v>0.7884519786763905</v>
      </c>
      <c r="AS186" s="92"/>
      <c r="AT186" s="92"/>
      <c r="AU186" s="95">
        <f t="shared" si="31"/>
        <v>87.877465709883992</v>
      </c>
      <c r="AV186" s="96">
        <f t="shared" si="32"/>
        <v>0.25823740160284597</v>
      </c>
      <c r="AW186" s="92">
        <f t="shared" si="33"/>
        <v>106134.29276887538</v>
      </c>
      <c r="AX186" s="96">
        <f>((AW186)/(101325))*(1-(0.43+0.014*'Drag Polar'!$D$31)*SQRT(AV186))</f>
        <v>0.78131879507042024</v>
      </c>
      <c r="AY186" s="92"/>
      <c r="AZ186" s="92"/>
      <c r="BA186" s="95">
        <f t="shared" si="34"/>
        <v>87.877465709883992</v>
      </c>
      <c r="BB186" s="96">
        <f t="shared" si="35"/>
        <v>0.25823740160284597</v>
      </c>
      <c r="BC186" s="92">
        <f t="shared" si="36"/>
        <v>106134.29276887538</v>
      </c>
      <c r="BD186" s="96">
        <f>((BC186)/(101325))*(1-(0.43+0.014*'Drag Polar'!$D$31)*SQRT(BB186))</f>
        <v>0.78131879507042024</v>
      </c>
      <c r="BE186" s="92"/>
      <c r="BF186" s="92"/>
      <c r="BG186" s="95">
        <f t="shared" si="37"/>
        <v>87.877465709883992</v>
      </c>
      <c r="BH186" s="96">
        <f t="shared" si="38"/>
        <v>0.25823740160284597</v>
      </c>
      <c r="BI186" s="92">
        <f t="shared" si="39"/>
        <v>106134.29276887538</v>
      </c>
      <c r="BJ186" s="96">
        <f>((BI186)/(101325))*(1-(0.43+0.014*'Drag Polar'!$D$31)*SQRT(BH186))</f>
        <v>0.78131879507042024</v>
      </c>
      <c r="BK186" s="92"/>
      <c r="BL186" s="92"/>
      <c r="BM186" s="95">
        <f t="shared" si="40"/>
        <v>78.599994807082965</v>
      </c>
      <c r="BN186" s="96">
        <f t="shared" si="41"/>
        <v>0.23097455372675069</v>
      </c>
      <c r="BO186" s="92">
        <f t="shared" si="42"/>
        <v>105159.66556788827</v>
      </c>
      <c r="BP186" s="96">
        <f>((BO186)/(101325))*(1-(0.43+0.014*'Drag Polar'!$D$31)*SQRT(BN186))</f>
        <v>0.7884519786763905</v>
      </c>
      <c r="BQ186" s="92"/>
      <c r="BR186" s="92"/>
      <c r="BS186" s="95">
        <f t="shared" si="43"/>
        <v>208.21740760127108</v>
      </c>
      <c r="BT186" s="96">
        <f t="shared" si="44"/>
        <v>0.67037392129476914</v>
      </c>
      <c r="BU186" s="92">
        <f t="shared" si="45"/>
        <v>53115.133120889353</v>
      </c>
      <c r="BV186" s="96">
        <f>((BU186)/(101325))*(1-(0.43+0.014*'Drag Polar'!$D$31)*SQRT(BT186))</f>
        <v>0.30960535780447151</v>
      </c>
      <c r="BW186" s="92"/>
      <c r="BX186" s="92"/>
      <c r="BY186" s="92"/>
    </row>
    <row r="187" spans="1:77">
      <c r="A187" s="15"/>
      <c r="B187" s="88">
        <v>8700</v>
      </c>
      <c r="C187" s="89">
        <f t="shared" si="23"/>
        <v>5379.4075927863296</v>
      </c>
      <c r="D187" s="89">
        <f t="shared" si="24"/>
        <v>5788.633461047255</v>
      </c>
      <c r="E187" s="90">
        <f>(TLAR!$B$21/$AN$96)*(('Drag Polar'!$D$39*0.5*(1.225*0.3345)*Sheet1!$C$5^2)/(TLAR!$B$21*B187)+(TLAR!$B$21*B187)/('Drag Polar'!$D$26*PI()*'Drag Polar'!$D$6*0.5*(1.225*0.3345)*Sheet1!$C$5^2))</f>
        <v>0.27533007981310492</v>
      </c>
      <c r="F187" s="90">
        <f>((TLAR!$B$21/AL187))*(SQRT(($D$47^2*(1.225*0.3345)*SQRT(Sheet1!$C$9))/((TLAR!$B$21*B187*2)))+2*SQRT(Sheet1!$C$10))</f>
        <v>0.25051351030610697</v>
      </c>
      <c r="G187" s="97">
        <f>((TLAR!$B$40)/(TLAR!$B$40-0))*(TLAR!$F$6/AR187)*((TLAR!$F$11*0.01)+2*SQRT(($D$64)/(PI()*'Drag Polar'!$D$6*$D$65)))</f>
        <v>0.18861972679933142</v>
      </c>
      <c r="H187" s="97">
        <f>((TLAR!$B$40)/(TLAR!$B$40-1))*(TLAR!$F$14/AX187)*((TLAR!$F$19*0.01)+2*SQRT(($E$64)/(PI()*'Drag Polar'!$D$6*$E$65)))</f>
        <v>0.26659400831379676</v>
      </c>
      <c r="I187" s="97">
        <f>((TLAR!$B$40)/(TLAR!$B$40-1))*(TLAR!$F$21/BD187)*((TLAR!$F$26*0.01)+2*SQRT(($F$64)/(PI()*'Drag Polar'!$D$6*$F$65)))</f>
        <v>0.28523918451172076</v>
      </c>
      <c r="J187" s="97">
        <f>((TLAR!$B$40)/(TLAR!$B$40-1))*(TLAR!$F$28/BJ187)*((TLAR!$F$33*0.01)+2*SQRT(($G$64)/(PI()*'Drag Polar'!$D$6*$G$65)))</f>
        <v>0.19003786137816153</v>
      </c>
      <c r="K187" s="97">
        <f>((TLAR!$B$40)/(TLAR!$B$40-1))*(TLAR!$F$35/BP187)*((TLAR!$F$40*0.01)+2*SQRT(($H$64)/(PI()*'Drag Polar'!$D$6*$H$65)))</f>
        <v>0.23676344871597585</v>
      </c>
      <c r="L187" s="15">
        <f>1.15*SQRT(((TLAR!$B$40)/(TLAR!$B$40-1))*((B187)/($D$73*0.85*1.225*9.81*PI()*'Drag Polar'!$E$42*'Drag Polar'!$D$6)))+((TLAR!$B$40)/(TLAR!$B$40-1))*((4*11)/($D$73))</f>
        <v>0.21624522696293402</v>
      </c>
      <c r="M187" s="15"/>
      <c r="N187" s="15"/>
      <c r="O187" s="15"/>
      <c r="P187" s="15"/>
      <c r="Q187" s="15"/>
      <c r="R187" s="15"/>
      <c r="S187" s="15"/>
      <c r="T187" s="15"/>
      <c r="U187" s="15"/>
      <c r="V187" s="15"/>
      <c r="W187" s="15"/>
      <c r="X187" s="15"/>
      <c r="Y187" s="15"/>
      <c r="Z187" s="15"/>
      <c r="AA187" s="15"/>
      <c r="AB187" s="15"/>
      <c r="AC187" s="15"/>
      <c r="AD187" s="15"/>
      <c r="AI187" s="95">
        <f t="shared" si="25"/>
        <v>209.42447514870935</v>
      </c>
      <c r="AJ187" s="96">
        <f t="shared" si="26"/>
        <v>0.67426017948214134</v>
      </c>
      <c r="AK187" s="92">
        <f t="shared" si="27"/>
        <v>53293.614871606638</v>
      </c>
      <c r="AL187" s="96">
        <f>((AK187)/(101325))*(1-(0.43+0.014*'Drag Polar'!$D$31)*SQRT(AJ187))</f>
        <v>0.31002249547190736</v>
      </c>
      <c r="AN187" s="92"/>
      <c r="AO187" s="95">
        <f t="shared" si="28"/>
        <v>79.055650768097195</v>
      </c>
      <c r="AP187" s="96">
        <f t="shared" si="29"/>
        <v>0.23231354786417413</v>
      </c>
      <c r="AQ187" s="92">
        <f t="shared" si="30"/>
        <v>105204.85474044598</v>
      </c>
      <c r="AR187" s="96">
        <f>((AQ187)/(101325))*(1-(0.43+0.014*'Drag Polar'!$D$31)*SQRT(AP187))</f>
        <v>0.78806864144453448</v>
      </c>
      <c r="AS187" s="92"/>
      <c r="AT187" s="92"/>
      <c r="AU187" s="95">
        <f t="shared" si="31"/>
        <v>88.386904561474395</v>
      </c>
      <c r="AV187" s="96">
        <f t="shared" si="32"/>
        <v>0.25973444255922218</v>
      </c>
      <c r="AW187" s="92">
        <f t="shared" si="33"/>
        <v>106191.15483718801</v>
      </c>
      <c r="AX187" s="96">
        <f>((AW187)/(101325))*(1-(0.43+0.014*'Drag Polar'!$D$31)*SQRT(AV187))</f>
        <v>0.78096665136680377</v>
      </c>
      <c r="AY187" s="92"/>
      <c r="AZ187" s="92"/>
      <c r="BA187" s="95">
        <f t="shared" si="34"/>
        <v>88.386904561474395</v>
      </c>
      <c r="BB187" s="96">
        <f t="shared" si="35"/>
        <v>0.25973444255922218</v>
      </c>
      <c r="BC187" s="92">
        <f t="shared" si="36"/>
        <v>106191.15483718801</v>
      </c>
      <c r="BD187" s="96">
        <f>((BC187)/(101325))*(1-(0.43+0.014*'Drag Polar'!$D$31)*SQRT(BB187))</f>
        <v>0.78096665136680377</v>
      </c>
      <c r="BE187" s="92"/>
      <c r="BF187" s="92"/>
      <c r="BG187" s="95">
        <f t="shared" si="37"/>
        <v>88.386904561474395</v>
      </c>
      <c r="BH187" s="96">
        <f t="shared" si="38"/>
        <v>0.25973444255922218</v>
      </c>
      <c r="BI187" s="92">
        <f t="shared" si="39"/>
        <v>106191.15483718801</v>
      </c>
      <c r="BJ187" s="96">
        <f>((BI187)/(101325))*(1-(0.43+0.014*'Drag Polar'!$D$31)*SQRT(BH187))</f>
        <v>0.78096665136680377</v>
      </c>
      <c r="BK187" s="92"/>
      <c r="BL187" s="92"/>
      <c r="BM187" s="95">
        <f t="shared" si="40"/>
        <v>79.055650768097195</v>
      </c>
      <c r="BN187" s="96">
        <f t="shared" si="41"/>
        <v>0.23231354786417413</v>
      </c>
      <c r="BO187" s="92">
        <f t="shared" si="42"/>
        <v>105204.85474044598</v>
      </c>
      <c r="BP187" s="96">
        <f>((BO187)/(101325))*(1-(0.43+0.014*'Drag Polar'!$D$31)*SQRT(BN187))</f>
        <v>0.78806864144453448</v>
      </c>
      <c r="BQ187" s="92"/>
      <c r="BR187" s="92"/>
      <c r="BS187" s="95">
        <f t="shared" si="43"/>
        <v>209.42447514870935</v>
      </c>
      <c r="BT187" s="96">
        <f t="shared" si="44"/>
        <v>0.67426017948214134</v>
      </c>
      <c r="BU187" s="92">
        <f t="shared" si="45"/>
        <v>53293.614871606638</v>
      </c>
      <c r="BV187" s="96">
        <f>((BU187)/(101325))*(1-(0.43+0.014*'Drag Polar'!$D$31)*SQRT(BT187))</f>
        <v>0.31002249547190736</v>
      </c>
      <c r="BW187" s="92"/>
      <c r="BX187" s="92"/>
      <c r="BY187" s="92"/>
    </row>
    <row r="188" spans="1:77">
      <c r="A188" s="15"/>
      <c r="B188" s="88">
        <v>8800</v>
      </c>
      <c r="C188" s="89">
        <f t="shared" si="23"/>
        <v>5379.4075927863296</v>
      </c>
      <c r="D188" s="89">
        <f t="shared" si="24"/>
        <v>5788.633461047255</v>
      </c>
      <c r="E188" s="90">
        <f>(TLAR!$B$21/$AN$96)*(('Drag Polar'!$D$39*0.5*(1.225*0.3345)*Sheet1!$C$5^2)/(TLAR!$B$21*B188)+(TLAR!$B$21*B188)/('Drag Polar'!$D$26*PI()*'Drag Polar'!$D$6*0.5*(1.225*0.3345)*Sheet1!$C$5^2))</f>
        <v>0.27521812537348689</v>
      </c>
      <c r="F188" s="90">
        <f>((TLAR!$B$21/AL188))*(SQRT(($D$47^2*(1.225*0.3345)*SQRT(Sheet1!$C$9))/((TLAR!$B$21*B188*2)))+2*SQRT(Sheet1!$C$10))</f>
        <v>0.24983311397117366</v>
      </c>
      <c r="G188" s="97">
        <f>((TLAR!$B$40)/(TLAR!$B$40-0))*(TLAR!$F$6/AR188)*((TLAR!$F$11*0.01)+2*SQRT(($D$64)/(PI()*'Drag Polar'!$D$6*$D$65)))</f>
        <v>0.18871015905297422</v>
      </c>
      <c r="H188" s="97">
        <f>((TLAR!$B$40)/(TLAR!$B$40-1))*(TLAR!$F$14/AX188)*((TLAR!$F$19*0.01)+2*SQRT(($E$64)/(PI()*'Drag Polar'!$D$6*$E$65)))</f>
        <v>0.26671223749685358</v>
      </c>
      <c r="I188" s="97">
        <f>((TLAR!$B$40)/(TLAR!$B$40-1))*(TLAR!$F$21/BD188)*((TLAR!$F$26*0.01)+2*SQRT(($F$64)/(PI()*'Drag Polar'!$D$6*$F$65)))</f>
        <v>0.28536568246257088</v>
      </c>
      <c r="J188" s="97">
        <f>((TLAR!$B$40)/(TLAR!$B$40-1))*(TLAR!$F$28/BJ188)*((TLAR!$F$33*0.01)+2*SQRT(($G$64)/(PI()*'Drag Polar'!$D$6*$G$65)))</f>
        <v>0.1901221394204278</v>
      </c>
      <c r="K188" s="97">
        <f>((TLAR!$B$40)/(TLAR!$B$40-1))*(TLAR!$F$35/BP188)*((TLAR!$F$40*0.01)+2*SQRT(($H$64)/(PI()*'Drag Polar'!$D$6*$H$65)))</f>
        <v>0.23687696310076978</v>
      </c>
      <c r="L188" s="15">
        <f>1.15*SQRT(((TLAR!$B$40)/(TLAR!$B$40-1))*((B188)/($D$73*0.85*1.225*9.81*PI()*'Drag Polar'!$E$42*'Drag Polar'!$D$6)))+((TLAR!$B$40)/(TLAR!$B$40-1))*((4*11)/($D$73))</f>
        <v>0.21729629233600928</v>
      </c>
      <c r="M188" s="15"/>
      <c r="N188" s="15"/>
      <c r="O188" s="15"/>
      <c r="P188" s="15"/>
      <c r="Q188" s="15"/>
      <c r="R188" s="15"/>
      <c r="S188" s="15"/>
      <c r="T188" s="15"/>
      <c r="U188" s="15"/>
      <c r="V188" s="15"/>
      <c r="W188" s="15"/>
      <c r="X188" s="15"/>
      <c r="Y188" s="15"/>
      <c r="Z188" s="15"/>
      <c r="AA188" s="15"/>
      <c r="AB188" s="15"/>
      <c r="AC188" s="15"/>
      <c r="AD188" s="15"/>
      <c r="AI188" s="95">
        <f t="shared" si="25"/>
        <v>210.62462523273703</v>
      </c>
      <c r="AJ188" s="96">
        <f t="shared" si="26"/>
        <v>0.67812416629880823</v>
      </c>
      <c r="AK188" s="92">
        <f t="shared" si="27"/>
        <v>53472.524603548336</v>
      </c>
      <c r="AL188" s="96">
        <f>((AK188)/(101325))*(1-(0.43+0.014*'Drag Polar'!$D$31)*SQRT(AJ188))</f>
        <v>0.31044331107029</v>
      </c>
      <c r="AN188" s="92"/>
      <c r="AO188" s="95">
        <f t="shared" si="28"/>
        <v>79.508695455662107</v>
      </c>
      <c r="AP188" s="96">
        <f t="shared" si="29"/>
        <v>0.23364486849320742</v>
      </c>
      <c r="AQ188" s="92">
        <f t="shared" si="30"/>
        <v>105250.05778178285</v>
      </c>
      <c r="AR188" s="96">
        <f>((AQ188)/(101325))*(1-(0.43+0.014*'Drag Polar'!$D$31)*SQRT(AP188))</f>
        <v>0.78769098915687452</v>
      </c>
      <c r="AS188" s="92"/>
      <c r="AT188" s="92"/>
      <c r="AU188" s="95">
        <f t="shared" si="31"/>
        <v>88.893423920594543</v>
      </c>
      <c r="AV188" s="96">
        <f t="shared" si="32"/>
        <v>0.26122290427240535</v>
      </c>
      <c r="AW188" s="92">
        <f t="shared" si="33"/>
        <v>106248.03866230314</v>
      </c>
      <c r="AX188" s="96">
        <f>((AW188)/(101325))*(1-(0.43+0.014*'Drag Polar'!$D$31)*SQRT(AV188))</f>
        <v>0.78062046159294007</v>
      </c>
      <c r="AY188" s="92"/>
      <c r="AZ188" s="92"/>
      <c r="BA188" s="95">
        <f t="shared" si="34"/>
        <v>88.893423920594543</v>
      </c>
      <c r="BB188" s="96">
        <f t="shared" si="35"/>
        <v>0.26122290427240535</v>
      </c>
      <c r="BC188" s="92">
        <f t="shared" si="36"/>
        <v>106248.03866230314</v>
      </c>
      <c r="BD188" s="96">
        <f>((BC188)/(101325))*(1-(0.43+0.014*'Drag Polar'!$D$31)*SQRT(BB188))</f>
        <v>0.78062046159294007</v>
      </c>
      <c r="BE188" s="92"/>
      <c r="BF188" s="92"/>
      <c r="BG188" s="95">
        <f t="shared" si="37"/>
        <v>88.893423920594543</v>
      </c>
      <c r="BH188" s="96">
        <f t="shared" si="38"/>
        <v>0.26122290427240535</v>
      </c>
      <c r="BI188" s="92">
        <f t="shared" si="39"/>
        <v>106248.03866230314</v>
      </c>
      <c r="BJ188" s="96">
        <f>((BI188)/(101325))*(1-(0.43+0.014*'Drag Polar'!$D$31)*SQRT(BH188))</f>
        <v>0.78062046159294007</v>
      </c>
      <c r="BK188" s="92"/>
      <c r="BL188" s="92"/>
      <c r="BM188" s="95">
        <f t="shared" si="40"/>
        <v>79.508695455662107</v>
      </c>
      <c r="BN188" s="96">
        <f t="shared" si="41"/>
        <v>0.23364486849320742</v>
      </c>
      <c r="BO188" s="92">
        <f t="shared" si="42"/>
        <v>105250.05778178285</v>
      </c>
      <c r="BP188" s="96">
        <f>((BO188)/(101325))*(1-(0.43+0.014*'Drag Polar'!$D$31)*SQRT(BN188))</f>
        <v>0.78769098915687452</v>
      </c>
      <c r="BQ188" s="92"/>
      <c r="BR188" s="92"/>
      <c r="BS188" s="95">
        <f t="shared" si="43"/>
        <v>210.62462523273703</v>
      </c>
      <c r="BT188" s="96">
        <f t="shared" si="44"/>
        <v>0.67812416629880823</v>
      </c>
      <c r="BU188" s="92">
        <f t="shared" si="45"/>
        <v>53472.524603548336</v>
      </c>
      <c r="BV188" s="96">
        <f>((BU188)/(101325))*(1-(0.43+0.014*'Drag Polar'!$D$31)*SQRT(BT188))</f>
        <v>0.31044331107029</v>
      </c>
      <c r="BW188" s="92"/>
      <c r="BX188" s="92"/>
      <c r="BY188" s="92"/>
    </row>
    <row r="189" spans="1:77">
      <c r="A189" s="15"/>
      <c r="B189" s="88">
        <v>8900</v>
      </c>
      <c r="C189" s="89">
        <f t="shared" si="23"/>
        <v>5379.4075927863296</v>
      </c>
      <c r="D189" s="89">
        <f t="shared" si="24"/>
        <v>5788.633461047255</v>
      </c>
      <c r="E189" s="90">
        <f>(TLAR!$B$21/$AN$96)*(('Drag Polar'!$D$39*0.5*(1.225*0.3345)*Sheet1!$C$5^2)/(TLAR!$B$21*B189)+(TLAR!$B$21*B189)/('Drag Polar'!$D$26*PI()*'Drag Polar'!$D$6*0.5*(1.225*0.3345)*Sheet1!$C$5^2))</f>
        <v>0.27514277704829065</v>
      </c>
      <c r="F189" s="90">
        <f>((TLAR!$B$21/AL189))*(SQRT(($D$47^2*(1.225*0.3345)*SQRT(Sheet1!$C$9))/((TLAR!$B$21*B189*2)))+2*SQRT(Sheet1!$C$10))</f>
        <v>0.24915741582210374</v>
      </c>
      <c r="G189" s="97">
        <f>((TLAR!$B$40)/(TLAR!$B$40-0))*(TLAR!$F$6/AR189)*((TLAR!$F$11*0.01)+2*SQRT(($D$64)/(PI()*'Drag Polar'!$D$6*$D$65)))</f>
        <v>0.18879934241034957</v>
      </c>
      <c r="H189" s="97">
        <f>((TLAR!$B$40)/(TLAR!$B$40-1))*(TLAR!$F$14/AX189)*((TLAR!$F$19*0.01)+2*SQRT(($E$64)/(PI()*'Drag Polar'!$D$6*$E$65)))</f>
        <v>0.26682857690232697</v>
      </c>
      <c r="I189" s="97">
        <f>((TLAR!$B$40)/(TLAR!$B$40-1))*(TLAR!$F$21/BD189)*((TLAR!$F$26*0.01)+2*SQRT(($F$64)/(PI()*'Drag Polar'!$D$6*$F$65)))</f>
        <v>0.28549015846769082</v>
      </c>
      <c r="J189" s="97">
        <f>((TLAR!$B$40)/(TLAR!$B$40-1))*(TLAR!$F$28/BJ189)*((TLAR!$F$33*0.01)+2*SQRT(($G$64)/(PI()*'Drag Polar'!$D$6*$G$65)))</f>
        <v>0.19020507036081169</v>
      </c>
      <c r="K189" s="97">
        <f>((TLAR!$B$40)/(TLAR!$B$40-1))*(TLAR!$F$35/BP189)*((TLAR!$F$40*0.01)+2*SQRT(($H$64)/(PI()*'Drag Polar'!$D$6*$H$65)))</f>
        <v>0.23698890981821324</v>
      </c>
      <c r="L189" s="15">
        <f>1.15*SQRT(((TLAR!$B$40)/(TLAR!$B$40-1))*((B189)/($D$73*0.85*1.225*9.81*PI()*'Drag Polar'!$E$42*'Drag Polar'!$D$6)))+((TLAR!$B$40)/(TLAR!$B$40-1))*((4*11)/($D$73))</f>
        <v>0.21834140252069253</v>
      </c>
      <c r="M189" s="15"/>
      <c r="N189" s="15"/>
      <c r="O189" s="15"/>
      <c r="P189" s="15"/>
      <c r="Q189" s="15"/>
      <c r="R189" s="15"/>
      <c r="S189" s="15"/>
      <c r="T189" s="15"/>
      <c r="U189" s="15"/>
      <c r="V189" s="15"/>
      <c r="W189" s="15"/>
      <c r="X189" s="15"/>
      <c r="Y189" s="15"/>
      <c r="Z189" s="15"/>
      <c r="AA189" s="15"/>
      <c r="AB189" s="15"/>
      <c r="AC189" s="15"/>
      <c r="AD189" s="15"/>
      <c r="AI189" s="95">
        <f t="shared" si="25"/>
        <v>211.81797543539466</v>
      </c>
      <c r="AJ189" s="96">
        <f t="shared" si="26"/>
        <v>0.6819662603103015</v>
      </c>
      <c r="AK189" s="92">
        <f t="shared" si="27"/>
        <v>53651.862931878153</v>
      </c>
      <c r="AL189" s="96">
        <f>((AK189)/(101325))*(1-(0.43+0.014*'Drag Polar'!$D$31)*SQRT(AJ189))</f>
        <v>0.31086774050544114</v>
      </c>
      <c r="AN189" s="92"/>
      <c r="AO189" s="95">
        <f t="shared" si="28"/>
        <v>79.959173255825391</v>
      </c>
      <c r="AP189" s="96">
        <f t="shared" si="29"/>
        <v>0.23496864604703427</v>
      </c>
      <c r="AQ189" s="92">
        <f t="shared" si="30"/>
        <v>105295.27469445227</v>
      </c>
      <c r="AR189" s="96">
        <f>((AQ189)/(101325))*(1-(0.43+0.014*'Drag Polar'!$D$31)*SQRT(AP189))</f>
        <v>0.78731890667983573</v>
      </c>
      <c r="AS189" s="92"/>
      <c r="AT189" s="92"/>
      <c r="AU189" s="95">
        <f t="shared" si="31"/>
        <v>89.397073412354374</v>
      </c>
      <c r="AV189" s="96">
        <f t="shared" si="32"/>
        <v>0.26270293257112792</v>
      </c>
      <c r="AW189" s="92">
        <f t="shared" si="33"/>
        <v>106304.94424921484</v>
      </c>
      <c r="AX189" s="96">
        <f>((AW189)/(101325))*(1-(0.43+0.014*'Drag Polar'!$D$31)*SQRT(AV189))</f>
        <v>0.7802801047936182</v>
      </c>
      <c r="AY189" s="92"/>
      <c r="AZ189" s="92"/>
      <c r="BA189" s="95">
        <f t="shared" si="34"/>
        <v>89.397073412354374</v>
      </c>
      <c r="BB189" s="96">
        <f t="shared" si="35"/>
        <v>0.26270293257112792</v>
      </c>
      <c r="BC189" s="92">
        <f t="shared" si="36"/>
        <v>106304.94424921484</v>
      </c>
      <c r="BD189" s="96">
        <f>((BC189)/(101325))*(1-(0.43+0.014*'Drag Polar'!$D$31)*SQRT(BB189))</f>
        <v>0.7802801047936182</v>
      </c>
      <c r="BE189" s="92"/>
      <c r="BF189" s="92"/>
      <c r="BG189" s="95">
        <f t="shared" si="37"/>
        <v>89.397073412354374</v>
      </c>
      <c r="BH189" s="96">
        <f t="shared" si="38"/>
        <v>0.26270293257112792</v>
      </c>
      <c r="BI189" s="92">
        <f t="shared" si="39"/>
        <v>106304.94424921484</v>
      </c>
      <c r="BJ189" s="96">
        <f>((BI189)/(101325))*(1-(0.43+0.014*'Drag Polar'!$D$31)*SQRT(BH189))</f>
        <v>0.7802801047936182</v>
      </c>
      <c r="BK189" s="92"/>
      <c r="BL189" s="92"/>
      <c r="BM189" s="95">
        <f t="shared" si="40"/>
        <v>79.959173255825391</v>
      </c>
      <c r="BN189" s="96">
        <f t="shared" si="41"/>
        <v>0.23496864604703427</v>
      </c>
      <c r="BO189" s="92">
        <f t="shared" si="42"/>
        <v>105295.27469445227</v>
      </c>
      <c r="BP189" s="96">
        <f>((BO189)/(101325))*(1-(0.43+0.014*'Drag Polar'!$D$31)*SQRT(BN189))</f>
        <v>0.78731890667983573</v>
      </c>
      <c r="BQ189" s="92"/>
      <c r="BR189" s="92"/>
      <c r="BS189" s="95">
        <f t="shared" si="43"/>
        <v>211.81797543539466</v>
      </c>
      <c r="BT189" s="96">
        <f t="shared" si="44"/>
        <v>0.6819662603103015</v>
      </c>
      <c r="BU189" s="92">
        <f t="shared" si="45"/>
        <v>53651.862931878153</v>
      </c>
      <c r="BV189" s="96">
        <f>((BU189)/(101325))*(1-(0.43+0.014*'Drag Polar'!$D$31)*SQRT(BT189))</f>
        <v>0.31086774050544114</v>
      </c>
      <c r="BW189" s="92"/>
      <c r="BX189" s="92"/>
      <c r="BY189" s="92"/>
    </row>
    <row r="190" spans="1:77">
      <c r="A190" s="15"/>
      <c r="B190" s="88">
        <v>9000</v>
      </c>
      <c r="C190" s="89">
        <f t="shared" si="23"/>
        <v>5379.4075927863296</v>
      </c>
      <c r="D190" s="89">
        <f t="shared" si="24"/>
        <v>5788.633461047255</v>
      </c>
      <c r="E190" s="90">
        <f>(TLAR!$B$21/$AN$96)*(('Drag Polar'!$D$39*0.5*(1.225*0.3345)*Sheet1!$C$5^2)/(TLAR!$B$21*B190)+(TLAR!$B$21*B190)/('Drag Polar'!$D$26*PI()*'Drag Polar'!$D$6*0.5*(1.225*0.3345)*Sheet1!$C$5^2))</f>
        <v>0.27510281463370218</v>
      </c>
      <c r="F190" s="90">
        <f>((TLAR!$B$21/AL190))*(SQRT(($D$47^2*(1.225*0.3345)*SQRT(Sheet1!$C$9))/((TLAR!$B$21*B190*2)))+2*SQRT(Sheet1!$C$10))</f>
        <v>0.24848630964490159</v>
      </c>
      <c r="G190" s="97">
        <f>((TLAR!$B$40)/(TLAR!$B$40-0))*(TLAR!$F$6/AR190)*((TLAR!$F$11*0.01)+2*SQRT(($D$64)/(PI()*'Drag Polar'!$D$6*$D$65)))</f>
        <v>0.18888729998283896</v>
      </c>
      <c r="H190" s="97">
        <f>((TLAR!$B$40)/(TLAR!$B$40-1))*(TLAR!$F$14/AX190)*((TLAR!$F$19*0.01)+2*SQRT(($E$64)/(PI()*'Drag Polar'!$D$6*$E$65)))</f>
        <v>0.26694306155538078</v>
      </c>
      <c r="I190" s="97">
        <f>((TLAR!$B$40)/(TLAR!$B$40-1))*(TLAR!$F$21/BD190)*((TLAR!$F$26*0.01)+2*SQRT(($F$64)/(PI()*'Drag Polar'!$D$6*$F$65)))</f>
        <v>0.2856126500018506</v>
      </c>
      <c r="J190" s="97">
        <f>((TLAR!$B$40)/(TLAR!$B$40-1))*(TLAR!$F$28/BJ190)*((TLAR!$F$33*0.01)+2*SQRT(($G$64)/(PI()*'Drag Polar'!$D$6*$G$65)))</f>
        <v>0.19028667916651804</v>
      </c>
      <c r="K190" s="97">
        <f>((TLAR!$B$40)/(TLAR!$B$40-1))*(TLAR!$F$35/BP190)*((TLAR!$F$40*0.01)+2*SQRT(($H$64)/(PI()*'Drag Polar'!$D$6*$H$65)))</f>
        <v>0.2370993178786884</v>
      </c>
      <c r="L190" s="15">
        <f>1.15*SQRT(((TLAR!$B$40)/(TLAR!$B$40-1))*((B190)/($D$73*0.85*1.225*9.81*PI()*'Drag Polar'!$E$42*'Drag Polar'!$D$6)))+((TLAR!$B$40)/(TLAR!$B$40-1))*((4*11)/($D$73))</f>
        <v>0.21938065760814396</v>
      </c>
      <c r="M190" s="15"/>
      <c r="N190" s="15"/>
      <c r="O190" s="15"/>
      <c r="P190" s="15"/>
      <c r="Q190" s="15"/>
      <c r="R190" s="15"/>
      <c r="S190" s="15"/>
      <c r="T190" s="15"/>
      <c r="U190" s="15"/>
      <c r="V190" s="15"/>
      <c r="W190" s="15"/>
      <c r="X190" s="15"/>
      <c r="Y190" s="15"/>
      <c r="Z190" s="15"/>
      <c r="AA190" s="15"/>
      <c r="AB190" s="15"/>
      <c r="AC190" s="15"/>
      <c r="AD190" s="15"/>
      <c r="AI190" s="95">
        <f t="shared" ref="AI190" si="46">SQRT((B190*2)/($D$55*$D$54))</f>
        <v>213.0046400449248</v>
      </c>
      <c r="AJ190" s="96">
        <f t="shared" si="26"/>
        <v>0.68578682947748582</v>
      </c>
      <c r="AK190" s="92">
        <f t="shared" si="27"/>
        <v>53831.63047205413</v>
      </c>
      <c r="AL190" s="96">
        <f>((AK190)/(101325))*(1-(0.43+0.014*'Drag Polar'!$D$31)*SQRT(AJ190))</f>
        <v>0.31129572177794373</v>
      </c>
      <c r="AM190" s="92"/>
      <c r="AN190" s="92"/>
      <c r="AO190" s="95">
        <f t="shared" si="28"/>
        <v>80.40712731125879</v>
      </c>
      <c r="AP190" s="96">
        <f t="shared" si="29"/>
        <v>0.23628500730504409</v>
      </c>
      <c r="AQ190" s="92">
        <f t="shared" si="30"/>
        <v>105340.50548100808</v>
      </c>
      <c r="AR190" s="96">
        <f>((AQ190)/(101325))*(1-(0.43+0.014*'Drag Polar'!$D$31)*SQRT(AP190))</f>
        <v>0.78695228245569337</v>
      </c>
      <c r="AS190" s="92"/>
      <c r="AT190" s="92"/>
      <c r="AU190" s="95">
        <f t="shared" si="31"/>
        <v>89.897901271727264</v>
      </c>
      <c r="AV190" s="96">
        <f t="shared" si="32"/>
        <v>0.26417466919905647</v>
      </c>
      <c r="AW190" s="92">
        <f t="shared" si="33"/>
        <v>106361.8716029175</v>
      </c>
      <c r="AX190" s="96">
        <f>((AW190)/(101325))*(1-(0.43+0.014*'Drag Polar'!$D$31)*SQRT(AV190))</f>
        <v>0.77994546377855833</v>
      </c>
      <c r="AY190" s="92"/>
      <c r="AZ190" s="92"/>
      <c r="BA190" s="95">
        <f t="shared" si="34"/>
        <v>89.897901271727264</v>
      </c>
      <c r="BB190" s="96">
        <f t="shared" si="35"/>
        <v>0.26417466919905647</v>
      </c>
      <c r="BC190" s="92">
        <f t="shared" si="36"/>
        <v>106361.8716029175</v>
      </c>
      <c r="BD190" s="96">
        <f>((BC190)/(101325))*(1-(0.43+0.014*'Drag Polar'!$D$31)*SQRT(BB190))</f>
        <v>0.77994546377855833</v>
      </c>
      <c r="BE190" s="92"/>
      <c r="BF190" s="92"/>
      <c r="BG190" s="95">
        <f t="shared" si="37"/>
        <v>89.897901271727264</v>
      </c>
      <c r="BH190" s="96">
        <f t="shared" si="38"/>
        <v>0.26417466919905647</v>
      </c>
      <c r="BI190" s="92">
        <f t="shared" si="39"/>
        <v>106361.8716029175</v>
      </c>
      <c r="BJ190" s="96">
        <f>((BI190)/(101325))*(1-(0.43+0.014*'Drag Polar'!$D$31)*SQRT(BH190))</f>
        <v>0.77994546377855833</v>
      </c>
      <c r="BK190" s="92"/>
      <c r="BL190" s="92"/>
      <c r="BM190" s="95">
        <f t="shared" si="40"/>
        <v>80.40712731125879</v>
      </c>
      <c r="BN190" s="96">
        <f t="shared" si="41"/>
        <v>0.23628500730504409</v>
      </c>
      <c r="BO190" s="92">
        <f t="shared" si="42"/>
        <v>105340.50548100808</v>
      </c>
      <c r="BP190" s="96">
        <f>((BO190)/(101325))*(1-(0.43+0.014*'Drag Polar'!$D$31)*SQRT(BN190))</f>
        <v>0.78695228245569337</v>
      </c>
      <c r="BQ190" s="92"/>
      <c r="BR190" s="92"/>
      <c r="BS190" s="95">
        <f t="shared" si="43"/>
        <v>213.0046400449248</v>
      </c>
      <c r="BT190" s="96">
        <f t="shared" si="44"/>
        <v>0.68578682947748582</v>
      </c>
      <c r="BU190" s="92">
        <f t="shared" si="45"/>
        <v>53831.63047205413</v>
      </c>
      <c r="BV190" s="96">
        <f>((BU190)/(101325))*(1-(0.43+0.014*'Drag Polar'!$D$31)*SQRT(BT190))</f>
        <v>0.31129572177794373</v>
      </c>
      <c r="BW190" s="92"/>
      <c r="BX190" s="92"/>
      <c r="BY190" s="92"/>
    </row>
    <row r="191" spans="1:77">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row>
  </sheetData>
  <sheetProtection algorithmName="SHA-512" hashValue="1QY2PGF3fq51w24dRMJ+G2PCkQWMLhAQJFMJ5JTTu+4hU4UsYhX6SX1C1Kt0N+ijxwom2abPKoAAOii5Y8MoOQ==" saltValue="UL8d4EEUYRLjQJKB0b3bVA==" spinCount="100000" sheet="1" scenarios="1" formatCells="0"/>
  <dataConsolidate/>
  <mergeCells count="9">
    <mergeCell ref="A8:G8"/>
    <mergeCell ref="A9:G9"/>
    <mergeCell ref="A68:C68"/>
    <mergeCell ref="A1:G1"/>
    <mergeCell ref="A2:G2"/>
    <mergeCell ref="A4:G4"/>
    <mergeCell ref="A5:G5"/>
    <mergeCell ref="A6:G6"/>
    <mergeCell ref="A7:G7"/>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248C1E93-81F1-465E-A0F9-5136EA0DFA9E}">
            <xm:f>'Configuration Selection'!$B$10="propeller"</xm:f>
            <x14:dxf>
              <numFmt numFmtId="171" formatCode=";;;"/>
            </x14:dxf>
          </x14:cfRule>
          <xm:sqref>E10 E56:E57 G58 G62 G65:G68 H66:H67 E70:E97</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8E15CC2E-AFD6-4E60-9A2A-D2843BF2FC6C}">
          <x14:formula1>
            <xm:f>Sheet2!$A$29:$A$30</xm:f>
          </x14:formula1>
          <xm:sqref>D76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8421A-332B-4464-B94C-1DD572F0C6C5}">
  <dimension ref="A1:F47"/>
  <sheetViews>
    <sheetView topLeftCell="A8" zoomScale="60" zoomScaleNormal="60" workbookViewId="0">
      <selection activeCell="X36" sqref="X36"/>
    </sheetView>
  </sheetViews>
  <sheetFormatPr defaultRowHeight="15"/>
  <cols>
    <col min="1" max="1" width="39.28515625" customWidth="1"/>
    <col min="2" max="2" width="42.7109375" customWidth="1"/>
  </cols>
  <sheetData>
    <row r="1" spans="1:6">
      <c r="A1" s="7" t="s">
        <v>845</v>
      </c>
      <c r="B1" s="2"/>
      <c r="C1" s="7" t="s">
        <v>1</v>
      </c>
      <c r="D1" s="2"/>
      <c r="E1" s="2"/>
      <c r="F1" s="2"/>
    </row>
    <row r="2" spans="1:6">
      <c r="A2" s="2" t="s">
        <v>846</v>
      </c>
      <c r="B2" s="2">
        <f>TLAR!B18</f>
        <v>0.82</v>
      </c>
      <c r="C2" s="2"/>
      <c r="D2" s="2" t="s">
        <v>847</v>
      </c>
      <c r="E2" s="2"/>
      <c r="F2" s="2"/>
    </row>
    <row r="3" spans="1:6">
      <c r="A3" s="2" t="s">
        <v>848</v>
      </c>
      <c r="B3" s="84">
        <f>24.02</f>
        <v>24.02</v>
      </c>
      <c r="C3" s="2" t="s">
        <v>444</v>
      </c>
      <c r="D3" s="2"/>
      <c r="E3" s="2"/>
      <c r="F3" s="2"/>
    </row>
    <row r="4" spans="1:6" ht="90" customHeight="1">
      <c r="A4" s="35" t="s">
        <v>849</v>
      </c>
      <c r="B4" s="32" t="s">
        <v>850</v>
      </c>
      <c r="C4" s="2"/>
      <c r="D4" s="2"/>
      <c r="E4" s="2"/>
      <c r="F4" s="2"/>
    </row>
    <row r="5" spans="1:6">
      <c r="A5" s="2"/>
      <c r="B5" s="2"/>
      <c r="C5" s="2"/>
      <c r="D5" s="2"/>
      <c r="E5" s="2"/>
      <c r="F5" s="2"/>
    </row>
    <row r="6" spans="1:6">
      <c r="A6" s="7" t="s">
        <v>851</v>
      </c>
      <c r="B6" s="2"/>
      <c r="C6" s="2"/>
      <c r="D6" s="2"/>
      <c r="E6" s="2"/>
      <c r="F6" s="2"/>
    </row>
    <row r="7" spans="1:6">
      <c r="A7" s="2" t="s">
        <v>852</v>
      </c>
      <c r="B7" s="141">
        <f>B14/B13</f>
        <v>0.29565217391304344</v>
      </c>
      <c r="C7" s="2" t="s">
        <v>331</v>
      </c>
      <c r="D7" s="2"/>
      <c r="E7" s="2"/>
      <c r="F7" s="2"/>
    </row>
    <row r="8" spans="1:6" ht="90" customHeight="1">
      <c r="A8" s="31" t="s">
        <v>853</v>
      </c>
      <c r="B8" s="32" t="s">
        <v>854</v>
      </c>
      <c r="C8" s="2"/>
      <c r="D8" s="2"/>
      <c r="E8" s="2"/>
      <c r="F8" s="2"/>
    </row>
    <row r="9" spans="1:6">
      <c r="A9" s="2"/>
      <c r="B9" s="2"/>
      <c r="C9" s="2"/>
      <c r="D9" s="2"/>
      <c r="E9" s="2"/>
      <c r="F9" s="2"/>
    </row>
    <row r="10" spans="1:6">
      <c r="A10" s="7" t="s">
        <v>855</v>
      </c>
      <c r="B10" s="2"/>
      <c r="C10" s="2"/>
      <c r="D10" s="2"/>
      <c r="E10" s="2"/>
      <c r="F10" s="2"/>
    </row>
    <row r="11" spans="1:6">
      <c r="A11" s="2" t="s">
        <v>856</v>
      </c>
      <c r="B11" s="2">
        <f>'Drag Polar'!D6</f>
        <v>8.8495787569999997</v>
      </c>
      <c r="C11" s="2"/>
      <c r="D11" s="2" t="s">
        <v>857</v>
      </c>
      <c r="E11" s="2"/>
      <c r="F11" s="2"/>
    </row>
    <row r="12" spans="1:6">
      <c r="A12" s="2" t="s">
        <v>858</v>
      </c>
      <c r="B12" s="84">
        <v>26.17</v>
      </c>
      <c r="C12" s="2" t="s">
        <v>5</v>
      </c>
      <c r="D12" s="2"/>
      <c r="E12" s="2"/>
      <c r="F12" s="2"/>
    </row>
    <row r="13" spans="1:6">
      <c r="A13" s="2" t="s">
        <v>859</v>
      </c>
      <c r="B13" s="140">
        <v>4.83</v>
      </c>
      <c r="C13" s="2" t="s">
        <v>5</v>
      </c>
      <c r="D13" s="2"/>
      <c r="E13" s="2"/>
      <c r="F13" s="2"/>
    </row>
    <row r="14" spans="1:6">
      <c r="A14" s="2" t="s">
        <v>860</v>
      </c>
      <c r="B14" s="140">
        <v>1.4279999999999999</v>
      </c>
      <c r="C14" s="2" t="s">
        <v>5</v>
      </c>
      <c r="D14" s="2"/>
      <c r="E14" s="2"/>
      <c r="F14" s="2"/>
    </row>
    <row r="15" spans="1:6" ht="30" customHeight="1">
      <c r="A15" s="337" t="s">
        <v>861</v>
      </c>
      <c r="B15" s="337"/>
      <c r="C15" s="337"/>
      <c r="D15" s="2"/>
      <c r="E15" s="2"/>
      <c r="F15" s="2"/>
    </row>
    <row r="16" spans="1:6">
      <c r="A16" s="2"/>
      <c r="B16" s="2"/>
      <c r="C16" s="2"/>
      <c r="D16" s="2"/>
      <c r="E16" s="2"/>
      <c r="F16" s="2"/>
    </row>
    <row r="17" spans="1:6">
      <c r="A17" s="7" t="s">
        <v>862</v>
      </c>
      <c r="B17" s="2"/>
      <c r="C17" s="2"/>
      <c r="D17" s="2"/>
      <c r="E17" s="2"/>
      <c r="F17" s="2"/>
    </row>
    <row r="18" spans="1:6" ht="30" customHeight="1">
      <c r="A18" s="337" t="s">
        <v>863</v>
      </c>
      <c r="B18" s="337"/>
      <c r="C18" s="337"/>
      <c r="D18" s="2"/>
      <c r="E18" s="2"/>
      <c r="F18" s="2"/>
    </row>
    <row r="19" spans="1:6">
      <c r="A19" s="2" t="s">
        <v>864</v>
      </c>
      <c r="B19" s="141">
        <f>((2*B13)/(3))*((1+B7+B7^2)/(1+B7))</f>
        <v>3.4372348993288591</v>
      </c>
      <c r="C19" s="2" t="s">
        <v>5</v>
      </c>
      <c r="D19" s="2"/>
      <c r="E19" s="2"/>
      <c r="F19" s="2"/>
    </row>
    <row r="20" spans="1:6">
      <c r="A20" s="2"/>
      <c r="B20" s="2"/>
      <c r="C20" s="2"/>
      <c r="D20" s="2"/>
      <c r="E20" s="2"/>
      <c r="F20" s="2"/>
    </row>
    <row r="21" spans="1:6">
      <c r="A21" s="7" t="s">
        <v>865</v>
      </c>
      <c r="B21" s="2"/>
      <c r="C21" s="2"/>
      <c r="D21" s="2"/>
      <c r="E21" s="2"/>
      <c r="F21" s="2"/>
    </row>
    <row r="22" spans="1:6" ht="45">
      <c r="A22" s="30" t="s">
        <v>866</v>
      </c>
      <c r="B22" s="113">
        <f>'Drag Polar'!D19*(2-((B13*Fuselage!E46)/('Matching Diagram'!D92)))</f>
        <v>5.4913922745419451E-3</v>
      </c>
      <c r="C22" s="2" t="s">
        <v>331</v>
      </c>
      <c r="D22" s="2"/>
      <c r="E22" s="2"/>
      <c r="F22" s="2"/>
    </row>
    <row r="23" spans="1:6" ht="30">
      <c r="A23" s="30" t="s">
        <v>867</v>
      </c>
      <c r="B23" s="82">
        <f>(B22-0.0035)/(0.018)</f>
        <v>0.11063290414121918</v>
      </c>
      <c r="C23" s="2" t="s">
        <v>331</v>
      </c>
      <c r="D23" s="2"/>
      <c r="E23" s="2"/>
      <c r="F23" s="2"/>
    </row>
    <row r="24" spans="1:6" ht="45">
      <c r="A24" s="30" t="s">
        <v>868</v>
      </c>
      <c r="B24" s="82">
        <f>1.1*(('Matching Diagram'!D13)/(SQRT(COS((B3*PI())/180))))</f>
        <v>1.4962519168787678</v>
      </c>
      <c r="C24" s="2" t="s">
        <v>331</v>
      </c>
      <c r="D24" s="2"/>
      <c r="E24" s="2"/>
      <c r="F24" s="2"/>
    </row>
    <row r="25" spans="1:6" ht="30">
      <c r="A25" s="30" t="s">
        <v>869</v>
      </c>
      <c r="B25" s="1">
        <f>7/100</f>
        <v>7.0000000000000007E-2</v>
      </c>
      <c r="C25" s="2" t="s">
        <v>331</v>
      </c>
      <c r="D25" s="2"/>
      <c r="E25" s="2"/>
      <c r="F25" s="2"/>
    </row>
    <row r="26" spans="1:6" ht="30">
      <c r="A26" s="30" t="s">
        <v>867</v>
      </c>
      <c r="B26" s="1">
        <f>22/100</f>
        <v>0.22</v>
      </c>
      <c r="C26" s="2" t="s">
        <v>331</v>
      </c>
      <c r="D26" s="2"/>
      <c r="E26" s="2"/>
      <c r="F26" s="2"/>
    </row>
    <row r="27" spans="1:6" ht="45">
      <c r="A27" s="30" t="s">
        <v>870</v>
      </c>
      <c r="B27" s="82">
        <f>((((COS(21.8*PI()/180))^3)*(0.935-(B2+0.03)*COS(21.8*PI()/180))-0.115*('Matching Diagram'!AP96)^(1.5))/((COS(21.8*PI()/180))^2))</f>
        <v>8.906583920363674E-2</v>
      </c>
      <c r="C27" s="2" t="s">
        <v>331</v>
      </c>
      <c r="D27" s="2"/>
      <c r="E27" s="2"/>
      <c r="F27" s="2"/>
    </row>
    <row r="28" spans="1:6" ht="45">
      <c r="A28" s="30" t="s">
        <v>871</v>
      </c>
      <c r="B28" s="1">
        <f>MIN(B25)</f>
        <v>7.0000000000000007E-2</v>
      </c>
      <c r="C28" s="2" t="s">
        <v>331</v>
      </c>
      <c r="D28" s="2"/>
      <c r="E28" s="2"/>
      <c r="F28" s="2"/>
    </row>
    <row r="29" spans="1:6" ht="30">
      <c r="A29" s="30" t="s">
        <v>872</v>
      </c>
      <c r="B29" s="82">
        <f>MIN(B23,B26,B27)</f>
        <v>8.906583920363674E-2</v>
      </c>
      <c r="C29" s="2" t="s">
        <v>331</v>
      </c>
      <c r="D29" s="2"/>
      <c r="E29" s="2"/>
      <c r="F29" s="2"/>
    </row>
    <row r="30" spans="1:6" ht="30">
      <c r="A30" s="30" t="s">
        <v>873</v>
      </c>
      <c r="B30" s="82">
        <f>B29</f>
        <v>8.906583920363674E-2</v>
      </c>
      <c r="C30" s="2" t="s">
        <v>331</v>
      </c>
      <c r="D30" s="2"/>
      <c r="E30" s="2"/>
      <c r="F30" s="2"/>
    </row>
    <row r="31" spans="1:6" ht="48">
      <c r="A31" s="30" t="s">
        <v>874</v>
      </c>
      <c r="B31" s="32" t="s">
        <v>875</v>
      </c>
      <c r="C31" s="2"/>
      <c r="D31" s="2"/>
      <c r="E31" s="2"/>
      <c r="F31" s="2"/>
    </row>
    <row r="32" spans="1:6" ht="45" customHeight="1">
      <c r="A32" s="337" t="s">
        <v>876</v>
      </c>
      <c r="B32" s="337"/>
      <c r="C32" s="2"/>
      <c r="D32" s="2"/>
      <c r="E32" s="2"/>
      <c r="F32" s="2"/>
    </row>
    <row r="33" spans="1:6" ht="30" customHeight="1">
      <c r="A33" s="337" t="s">
        <v>877</v>
      </c>
      <c r="B33" s="337"/>
      <c r="C33" s="2"/>
      <c r="D33" s="2"/>
      <c r="E33" s="2"/>
      <c r="F33" s="2"/>
    </row>
    <row r="34" spans="1:6">
      <c r="A34" s="2"/>
      <c r="B34" s="2"/>
      <c r="C34" s="2"/>
      <c r="D34" s="2"/>
      <c r="E34" s="2"/>
      <c r="F34" s="2"/>
    </row>
    <row r="35" spans="1:6">
      <c r="A35" s="7" t="s">
        <v>878</v>
      </c>
      <c r="B35" s="2"/>
      <c r="C35" s="2"/>
      <c r="D35" s="2"/>
      <c r="E35" s="2"/>
      <c r="F35" s="2"/>
    </row>
    <row r="36" spans="1:6">
      <c r="A36" s="2" t="s">
        <v>879</v>
      </c>
      <c r="B36" s="84">
        <f>3-0.1*B3+2</f>
        <v>2.5979999999999999</v>
      </c>
      <c r="C36" s="2" t="s">
        <v>444</v>
      </c>
      <c r="D36" s="2"/>
      <c r="E36" s="2"/>
      <c r="F36" s="2"/>
    </row>
    <row r="37" spans="1:6" ht="30">
      <c r="A37" s="23" t="s">
        <v>880</v>
      </c>
      <c r="B37" s="32" t="s">
        <v>747</v>
      </c>
      <c r="C37" s="2"/>
      <c r="D37" s="2"/>
      <c r="E37" s="2"/>
      <c r="F37" s="2"/>
    </row>
    <row r="38" spans="1:6" ht="90" customHeight="1">
      <c r="A38" s="31" t="s">
        <v>881</v>
      </c>
      <c r="B38" s="32" t="s">
        <v>882</v>
      </c>
      <c r="C38" s="2"/>
      <c r="D38" s="2"/>
      <c r="E38" s="2"/>
      <c r="F38" s="2"/>
    </row>
    <row r="39" spans="1:6">
      <c r="A39" s="2" t="s">
        <v>883</v>
      </c>
      <c r="B39" s="84">
        <v>3</v>
      </c>
      <c r="C39" s="2" t="s">
        <v>444</v>
      </c>
      <c r="D39" s="2"/>
      <c r="E39" s="2"/>
      <c r="F39" s="2"/>
    </row>
    <row r="40" spans="1:6">
      <c r="A40" s="2"/>
      <c r="B40" s="2"/>
      <c r="C40" s="2"/>
      <c r="D40" s="2"/>
      <c r="E40" s="2"/>
      <c r="F40" s="2"/>
    </row>
    <row r="41" spans="1:6">
      <c r="A41" s="7" t="s">
        <v>884</v>
      </c>
      <c r="B41" s="2"/>
      <c r="C41" s="2"/>
      <c r="D41" s="2"/>
      <c r="E41" s="2"/>
      <c r="F41" s="2"/>
    </row>
    <row r="42" spans="1:6" ht="30" customHeight="1">
      <c r="A42" s="337" t="s">
        <v>885</v>
      </c>
      <c r="B42" s="337"/>
      <c r="C42" s="337"/>
      <c r="D42" s="2"/>
      <c r="E42" s="2"/>
      <c r="F42" s="2"/>
    </row>
    <row r="43" spans="1:6" ht="30" customHeight="1">
      <c r="A43" s="337" t="s">
        <v>886</v>
      </c>
      <c r="B43" s="337"/>
      <c r="C43" s="337"/>
      <c r="D43" s="2"/>
      <c r="E43" s="2"/>
      <c r="F43" s="2"/>
    </row>
    <row r="44" spans="1:6">
      <c r="A44" s="37" t="s">
        <v>887</v>
      </c>
      <c r="B44" s="2"/>
      <c r="C44" s="2"/>
      <c r="D44" s="2"/>
      <c r="E44" s="2"/>
      <c r="F44" s="2"/>
    </row>
    <row r="45" spans="1:6">
      <c r="A45" s="2"/>
      <c r="B45" s="2"/>
      <c r="C45" s="2"/>
      <c r="D45" s="2"/>
      <c r="E45" s="2"/>
      <c r="F45" s="2"/>
    </row>
    <row r="46" spans="1:6">
      <c r="A46" s="7" t="s">
        <v>47</v>
      </c>
      <c r="B46" s="2"/>
      <c r="C46" s="2"/>
      <c r="D46" s="2"/>
      <c r="E46" s="2"/>
      <c r="F46" s="2"/>
    </row>
    <row r="47" spans="1:6">
      <c r="A47" s="7"/>
      <c r="B47" s="2"/>
      <c r="C47" s="2"/>
      <c r="D47" s="2"/>
      <c r="E47" s="2"/>
      <c r="F47" s="2"/>
    </row>
  </sheetData>
  <sheetProtection algorithmName="SHA-512" hashValue="In33eAX8DEpVnoXMadmQj4mk0CfCRBJSAMM8/xswpjBUK++x9jfUturqKuqDK8OFMn3WLXzyr0pMxrqQp59WKg==" saltValue="6GH4S11XFkDInN3f8gLOZA==" spinCount="100000" sheet="1" objects="1" scenarios="1" formatCells="0"/>
  <mergeCells count="6">
    <mergeCell ref="A32:B32"/>
    <mergeCell ref="A33:B33"/>
    <mergeCell ref="A42:C42"/>
    <mergeCell ref="A43:C43"/>
    <mergeCell ref="A15:C15"/>
    <mergeCell ref="A18:C18"/>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7346-1B64-4777-8D18-B7A8C5A631AB}">
  <dimension ref="A1:J45"/>
  <sheetViews>
    <sheetView zoomScale="70" zoomScaleNormal="70" workbookViewId="0">
      <selection activeCell="F46" sqref="F46"/>
    </sheetView>
  </sheetViews>
  <sheetFormatPr defaultRowHeight="15"/>
  <cols>
    <col min="1" max="1" width="46.28515625" customWidth="1"/>
  </cols>
  <sheetData>
    <row r="1" spans="1:10">
      <c r="A1" s="7" t="s">
        <v>888</v>
      </c>
      <c r="B1" s="2"/>
      <c r="C1" s="2"/>
      <c r="D1" s="2"/>
      <c r="E1" s="2"/>
      <c r="F1" s="2"/>
      <c r="G1" s="2"/>
      <c r="H1" s="2"/>
      <c r="I1" s="2"/>
      <c r="J1" s="2"/>
    </row>
    <row r="2" spans="1:10">
      <c r="A2" s="2" t="str">
        <f>'Configuration Selection'!A10</f>
        <v>Aircraft engine type:</v>
      </c>
      <c r="B2" s="2"/>
      <c r="C2" s="2"/>
      <c r="D2" s="2" t="str">
        <f>'Configuration Selection'!B10</f>
        <v>jet</v>
      </c>
      <c r="E2" s="2"/>
      <c r="F2" s="2"/>
      <c r="G2" s="2"/>
      <c r="H2" s="2"/>
      <c r="I2" s="2"/>
      <c r="J2" s="2"/>
    </row>
    <row r="3" spans="1:10">
      <c r="A3" s="2" t="str">
        <f>'Configuration Selection'!A11</f>
        <v>No. of engines</v>
      </c>
      <c r="B3" s="2"/>
      <c r="C3" s="2"/>
      <c r="D3" s="2">
        <f>'Configuration Selection'!B11</f>
        <v>2</v>
      </c>
      <c r="E3" s="2"/>
      <c r="F3" s="2"/>
      <c r="G3" s="2"/>
      <c r="H3" s="2"/>
      <c r="I3" s="2"/>
      <c r="J3" s="2"/>
    </row>
    <row r="4" spans="1:10">
      <c r="A4" s="2" t="str">
        <f>'Configuration Selection'!A13</f>
        <v>Integration</v>
      </c>
      <c r="B4" s="2"/>
      <c r="C4" s="2"/>
      <c r="D4" s="2" t="str">
        <f>'Configuration Selection'!B13</f>
        <v>On fuselage side</v>
      </c>
      <c r="E4" s="2"/>
      <c r="F4" s="2"/>
      <c r="G4" s="2"/>
      <c r="H4" s="2"/>
      <c r="I4" s="2"/>
      <c r="J4" s="2"/>
    </row>
    <row r="5" spans="1:10">
      <c r="A5" s="323" t="s">
        <v>889</v>
      </c>
      <c r="B5" s="323"/>
      <c r="C5" s="338"/>
      <c r="D5" s="1" t="s">
        <v>875</v>
      </c>
      <c r="E5" s="2"/>
      <c r="F5" s="2"/>
      <c r="G5" s="2"/>
      <c r="H5" s="2"/>
      <c r="I5" s="2"/>
      <c r="J5" s="2"/>
    </row>
    <row r="6" spans="1:10" ht="30" customHeight="1">
      <c r="A6" s="337" t="s">
        <v>890</v>
      </c>
      <c r="B6" s="337"/>
      <c r="C6" s="337"/>
      <c r="D6" s="337"/>
      <c r="E6" s="2"/>
      <c r="F6" s="2"/>
      <c r="G6" s="2"/>
      <c r="H6" s="2"/>
      <c r="I6" s="2"/>
      <c r="J6" s="2"/>
    </row>
    <row r="7" spans="1:10">
      <c r="A7" s="2"/>
      <c r="B7" s="2"/>
      <c r="C7" s="2"/>
      <c r="D7" s="2"/>
      <c r="E7" s="2"/>
      <c r="F7" s="2"/>
      <c r="G7" s="2"/>
      <c r="H7" s="2"/>
      <c r="I7" s="2"/>
      <c r="J7" s="2"/>
    </row>
    <row r="8" spans="1:10">
      <c r="A8" s="7" t="s">
        <v>891</v>
      </c>
      <c r="B8" s="2"/>
      <c r="C8" s="2"/>
      <c r="D8" s="2"/>
      <c r="E8" s="7" t="s">
        <v>1</v>
      </c>
      <c r="F8" s="2"/>
      <c r="G8" s="2"/>
      <c r="H8" s="2"/>
      <c r="I8" s="2"/>
      <c r="J8" s="2"/>
    </row>
    <row r="9" spans="1:10">
      <c r="A9" s="2" t="s">
        <v>892</v>
      </c>
      <c r="B9" s="2"/>
      <c r="C9" s="2"/>
      <c r="D9" s="1"/>
      <c r="E9" s="2" t="s">
        <v>5</v>
      </c>
      <c r="F9" s="2"/>
      <c r="G9" s="2"/>
      <c r="H9" s="2"/>
      <c r="I9" s="2"/>
      <c r="J9" s="2"/>
    </row>
    <row r="10" spans="1:10">
      <c r="A10" s="2" t="s">
        <v>893</v>
      </c>
      <c r="B10" s="2"/>
      <c r="C10" s="2"/>
      <c r="D10" s="1"/>
      <c r="E10" s="2" t="s">
        <v>5</v>
      </c>
      <c r="F10" s="2"/>
      <c r="G10" s="2"/>
      <c r="H10" s="2"/>
      <c r="I10" s="2"/>
      <c r="J10" s="2"/>
    </row>
    <row r="11" spans="1:10">
      <c r="A11" s="2" t="s">
        <v>894</v>
      </c>
      <c r="B11" s="2"/>
      <c r="C11" s="2"/>
      <c r="D11" s="1"/>
      <c r="E11" s="2" t="s">
        <v>5</v>
      </c>
      <c r="F11" s="2"/>
      <c r="G11" s="2"/>
      <c r="H11" s="2"/>
      <c r="I11" s="2"/>
      <c r="J11" s="2"/>
    </row>
    <row r="12" spans="1:10">
      <c r="A12" s="2" t="s">
        <v>895</v>
      </c>
      <c r="B12" s="2"/>
      <c r="C12" s="2"/>
      <c r="D12" s="1"/>
      <c r="E12" s="2" t="s">
        <v>5</v>
      </c>
      <c r="F12" s="2"/>
      <c r="G12" s="2"/>
      <c r="H12" s="2"/>
      <c r="I12" s="2"/>
      <c r="J12" s="2"/>
    </row>
    <row r="13" spans="1:10">
      <c r="A13" s="2" t="s">
        <v>896</v>
      </c>
      <c r="B13" s="2"/>
      <c r="C13" s="2"/>
      <c r="D13" s="1"/>
      <c r="E13" s="2" t="s">
        <v>5</v>
      </c>
      <c r="F13" s="2"/>
      <c r="G13" s="2"/>
      <c r="H13" s="2"/>
      <c r="I13" s="2"/>
      <c r="J13" s="2"/>
    </row>
    <row r="14" spans="1:10">
      <c r="A14" s="2" t="s">
        <v>897</v>
      </c>
      <c r="B14" s="2"/>
      <c r="C14" s="2"/>
      <c r="D14" s="1"/>
      <c r="E14" s="2" t="s">
        <v>5</v>
      </c>
      <c r="F14" s="2"/>
      <c r="G14" s="2"/>
      <c r="H14" s="2"/>
      <c r="I14" s="2"/>
      <c r="J14" s="2"/>
    </row>
    <row r="15" spans="1:10">
      <c r="A15" s="37" t="s">
        <v>898</v>
      </c>
      <c r="B15" s="2"/>
      <c r="C15" s="2"/>
      <c r="D15" s="2"/>
      <c r="E15" s="2"/>
      <c r="F15" s="2"/>
      <c r="G15" s="2"/>
      <c r="H15" s="2"/>
      <c r="I15" s="2"/>
      <c r="J15" s="2"/>
    </row>
    <row r="16" spans="1:10">
      <c r="A16" s="2"/>
      <c r="B16" s="2"/>
      <c r="C16" s="2"/>
      <c r="D16" s="2"/>
      <c r="E16" s="2"/>
      <c r="F16" s="2"/>
      <c r="G16" s="2"/>
      <c r="H16" s="2"/>
      <c r="I16" s="2"/>
      <c r="J16" s="2"/>
    </row>
    <row r="17" spans="1:10">
      <c r="A17" s="7" t="s">
        <v>899</v>
      </c>
      <c r="B17" s="2"/>
      <c r="C17" s="2"/>
      <c r="D17" s="2"/>
      <c r="E17" s="7" t="s">
        <v>1</v>
      </c>
      <c r="F17" s="2"/>
      <c r="G17" s="2"/>
      <c r="H17" s="2"/>
      <c r="I17" s="2"/>
      <c r="J17" s="2"/>
    </row>
    <row r="18" spans="1:10">
      <c r="A18" s="2" t="s">
        <v>900</v>
      </c>
      <c r="B18" s="2"/>
      <c r="C18" s="2"/>
      <c r="D18" s="2">
        <f>'Drag Polar'!D31</f>
        <v>5</v>
      </c>
      <c r="E18" s="7"/>
      <c r="F18" s="2"/>
      <c r="G18" s="2"/>
      <c r="H18" s="2"/>
      <c r="I18" s="2"/>
      <c r="J18" s="2"/>
    </row>
    <row r="19" spans="1:10" ht="18">
      <c r="A19" s="2" t="s">
        <v>901</v>
      </c>
      <c r="B19" s="2"/>
      <c r="C19" s="2"/>
      <c r="D19" s="14"/>
      <c r="E19" s="2" t="s">
        <v>528</v>
      </c>
      <c r="F19" s="2"/>
      <c r="G19" s="2"/>
      <c r="H19" s="2"/>
      <c r="I19" s="2"/>
      <c r="J19" s="2"/>
    </row>
    <row r="20" spans="1:10" ht="18">
      <c r="A20" s="2" t="s">
        <v>902</v>
      </c>
      <c r="B20" s="2"/>
      <c r="C20" s="2"/>
      <c r="D20" s="14"/>
      <c r="E20" s="2" t="s">
        <v>331</v>
      </c>
      <c r="F20" s="2"/>
      <c r="G20" s="2"/>
      <c r="H20" s="2"/>
      <c r="I20" s="2"/>
      <c r="J20" s="2"/>
    </row>
    <row r="21" spans="1:10" ht="18">
      <c r="A21" s="2" t="s">
        <v>903</v>
      </c>
      <c r="B21" s="2"/>
      <c r="C21" s="2"/>
      <c r="D21" s="14"/>
      <c r="E21" s="2" t="s">
        <v>331</v>
      </c>
      <c r="F21" s="2"/>
      <c r="G21" s="2"/>
      <c r="H21" s="2"/>
      <c r="I21" s="2"/>
      <c r="J21" s="2"/>
    </row>
    <row r="22" spans="1:10">
      <c r="A22" s="2" t="s">
        <v>904</v>
      </c>
      <c r="B22" s="2"/>
      <c r="C22" s="2"/>
      <c r="D22" s="14"/>
      <c r="E22" s="2" t="s">
        <v>331</v>
      </c>
      <c r="F22" s="2"/>
      <c r="G22" s="2"/>
      <c r="H22" s="2"/>
      <c r="I22" s="2"/>
      <c r="J22" s="2"/>
    </row>
    <row r="23" spans="1:10">
      <c r="A23" s="2" t="s">
        <v>905</v>
      </c>
      <c r="B23" s="2"/>
      <c r="C23" s="2"/>
      <c r="D23" s="1"/>
      <c r="E23" s="2" t="s">
        <v>906</v>
      </c>
      <c r="F23" s="2"/>
      <c r="G23" s="2"/>
      <c r="H23" s="2"/>
      <c r="I23" s="2"/>
      <c r="J23" s="2"/>
    </row>
    <row r="24" spans="1:10">
      <c r="A24" s="2" t="s">
        <v>907</v>
      </c>
      <c r="B24" s="2"/>
      <c r="C24" s="2"/>
      <c r="D24" s="1"/>
      <c r="E24" s="2"/>
      <c r="F24" s="2"/>
      <c r="G24" s="2"/>
      <c r="H24" s="2"/>
      <c r="I24" s="2"/>
      <c r="J24" s="2"/>
    </row>
    <row r="25" spans="1:10">
      <c r="A25" s="2" t="s">
        <v>908</v>
      </c>
      <c r="B25" s="2"/>
      <c r="C25" s="2"/>
      <c r="D25" s="340"/>
      <c r="E25" s="340"/>
      <c r="F25" s="340"/>
      <c r="G25" s="340"/>
      <c r="H25" s="340"/>
      <c r="I25" s="340"/>
      <c r="J25" s="2"/>
    </row>
    <row r="26" spans="1:10">
      <c r="A26" s="2" t="s">
        <v>909</v>
      </c>
      <c r="B26" s="2"/>
      <c r="C26" s="2"/>
      <c r="D26" s="1"/>
      <c r="E26" s="2" t="s">
        <v>5</v>
      </c>
      <c r="F26" s="2"/>
      <c r="G26" s="2"/>
      <c r="H26" s="2"/>
      <c r="I26" s="2"/>
      <c r="J26" s="2"/>
    </row>
    <row r="27" spans="1:10">
      <c r="A27" s="2" t="s">
        <v>910</v>
      </c>
      <c r="B27" s="2"/>
      <c r="C27" s="2"/>
      <c r="D27" s="1"/>
      <c r="E27" s="2" t="s">
        <v>5</v>
      </c>
      <c r="F27" s="2"/>
      <c r="G27" s="2"/>
      <c r="H27" s="2"/>
      <c r="I27" s="2"/>
      <c r="J27" s="2"/>
    </row>
    <row r="28" spans="1:10">
      <c r="A28" s="2" t="s">
        <v>911</v>
      </c>
      <c r="B28" s="2"/>
      <c r="C28" s="2"/>
      <c r="D28" s="1"/>
      <c r="E28" s="2" t="s">
        <v>331</v>
      </c>
      <c r="F28" s="2"/>
      <c r="G28" s="2"/>
      <c r="H28" s="2"/>
      <c r="I28" s="2"/>
      <c r="J28" s="2"/>
    </row>
    <row r="29" spans="1:10">
      <c r="A29" s="2" t="s">
        <v>912</v>
      </c>
      <c r="B29" s="2"/>
      <c r="C29" s="2"/>
      <c r="D29" s="1"/>
      <c r="E29" s="2" t="s">
        <v>5</v>
      </c>
      <c r="F29" s="2"/>
      <c r="G29" s="2"/>
      <c r="H29" s="2"/>
      <c r="I29" s="2"/>
      <c r="J29" s="2"/>
    </row>
    <row r="30" spans="1:10">
      <c r="A30" s="2" t="s">
        <v>913</v>
      </c>
      <c r="B30" s="2"/>
      <c r="C30" s="2"/>
      <c r="D30" s="1"/>
      <c r="E30" s="2" t="s">
        <v>5</v>
      </c>
      <c r="F30" s="2"/>
      <c r="G30" s="2"/>
      <c r="H30" s="2"/>
      <c r="I30" s="2"/>
      <c r="J30" s="2"/>
    </row>
    <row r="31" spans="1:10">
      <c r="A31" s="2" t="s">
        <v>914</v>
      </c>
      <c r="B31" s="2"/>
      <c r="C31" s="2"/>
      <c r="D31" s="1"/>
      <c r="E31" s="2" t="s">
        <v>5</v>
      </c>
      <c r="F31" s="2"/>
      <c r="G31" s="2"/>
      <c r="H31" s="2"/>
      <c r="I31" s="2"/>
      <c r="J31" s="2"/>
    </row>
    <row r="32" spans="1:10">
      <c r="A32" s="2" t="s">
        <v>915</v>
      </c>
      <c r="B32" s="2"/>
      <c r="C32" s="2"/>
      <c r="D32" s="1"/>
      <c r="E32" s="2" t="s">
        <v>5</v>
      </c>
      <c r="F32" s="2"/>
      <c r="G32" s="2"/>
      <c r="H32" s="2"/>
      <c r="I32" s="2"/>
      <c r="J32" s="2"/>
    </row>
    <row r="33" spans="1:10" ht="30" customHeight="1">
      <c r="A33" s="312" t="s">
        <v>916</v>
      </c>
      <c r="B33" s="312"/>
      <c r="C33" s="339"/>
      <c r="D33" s="1"/>
      <c r="E33" s="2" t="s">
        <v>5</v>
      </c>
      <c r="F33" s="2"/>
      <c r="G33" s="2"/>
      <c r="H33" s="2"/>
      <c r="I33" s="2"/>
      <c r="J33" s="2"/>
    </row>
    <row r="34" spans="1:10">
      <c r="A34" s="2" t="s">
        <v>917</v>
      </c>
      <c r="B34" s="2"/>
      <c r="C34" s="2"/>
      <c r="D34" s="1"/>
      <c r="E34" s="2" t="s">
        <v>5</v>
      </c>
      <c r="F34" s="2"/>
      <c r="G34" s="2"/>
      <c r="H34" s="2"/>
      <c r="I34" s="2"/>
      <c r="J34" s="2"/>
    </row>
    <row r="35" spans="1:10">
      <c r="A35" s="37" t="s">
        <v>898</v>
      </c>
      <c r="B35" s="2"/>
      <c r="C35" s="2"/>
      <c r="D35" s="2"/>
      <c r="E35" s="2"/>
      <c r="F35" s="2"/>
      <c r="G35" s="2"/>
      <c r="H35" s="2"/>
      <c r="I35" s="2"/>
      <c r="J35" s="2"/>
    </row>
    <row r="36" spans="1:10">
      <c r="A36" s="2"/>
      <c r="B36" s="2"/>
      <c r="C36" s="2"/>
      <c r="D36" s="2"/>
      <c r="E36" s="2"/>
      <c r="F36" s="2"/>
      <c r="G36" s="2"/>
      <c r="H36" s="2"/>
      <c r="I36" s="2"/>
      <c r="J36" s="2"/>
    </row>
    <row r="37" spans="1:10">
      <c r="A37" s="7" t="s">
        <v>918</v>
      </c>
      <c r="B37" s="2"/>
      <c r="C37" s="2"/>
      <c r="D37" s="2"/>
      <c r="E37" s="2"/>
      <c r="F37" s="2"/>
      <c r="G37" s="2"/>
      <c r="H37" s="2"/>
      <c r="I37" s="2"/>
      <c r="J37" s="2"/>
    </row>
    <row r="38" spans="1:10" ht="30" customHeight="1">
      <c r="A38" s="337" t="s">
        <v>919</v>
      </c>
      <c r="B38" s="337"/>
      <c r="C38" s="337"/>
      <c r="D38" s="337"/>
      <c r="E38" s="337"/>
      <c r="F38" s="337"/>
      <c r="G38" s="337"/>
      <c r="H38" s="2"/>
      <c r="I38" s="2"/>
      <c r="J38" s="2"/>
    </row>
    <row r="39" spans="1:10">
      <c r="A39" s="37" t="s">
        <v>920</v>
      </c>
      <c r="B39" s="2"/>
      <c r="C39" s="2"/>
      <c r="D39" s="2"/>
      <c r="E39" s="2"/>
      <c r="F39" s="2"/>
      <c r="G39" s="2"/>
      <c r="H39" s="2"/>
      <c r="I39" s="2"/>
      <c r="J39" s="2"/>
    </row>
    <row r="40" spans="1:10">
      <c r="A40" s="49" t="s">
        <v>921</v>
      </c>
      <c r="B40" s="2"/>
      <c r="C40" s="2"/>
      <c r="D40" s="2"/>
      <c r="E40" s="2"/>
      <c r="F40" s="2"/>
      <c r="G40" s="2"/>
      <c r="H40" s="2"/>
      <c r="I40" s="2"/>
      <c r="J40" s="2"/>
    </row>
    <row r="41" spans="1:10" ht="90" customHeight="1">
      <c r="A41" s="312" t="s">
        <v>922</v>
      </c>
      <c r="B41" s="312"/>
      <c r="C41" s="339"/>
      <c r="D41" s="340"/>
      <c r="E41" s="340"/>
      <c r="F41" s="340"/>
      <c r="G41" s="340"/>
      <c r="H41" s="340"/>
      <c r="I41" s="340"/>
      <c r="J41" s="2"/>
    </row>
    <row r="42" spans="1:10">
      <c r="A42" s="2"/>
      <c r="B42" s="2"/>
      <c r="C42" s="2"/>
      <c r="D42" s="2"/>
      <c r="E42" s="2"/>
      <c r="F42" s="2"/>
      <c r="G42" s="2"/>
      <c r="H42" s="2"/>
      <c r="I42" s="2"/>
      <c r="J42" s="2"/>
    </row>
    <row r="43" spans="1:10">
      <c r="A43" s="7" t="s">
        <v>47</v>
      </c>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sheetData>
  <sheetProtection algorithmName="SHA-512" hashValue="ZM8gI8WE5k4dF8xlJWMVoP+Xdu69yi7JQf8bkak3v3hlf+GAMspAaBz4lgo2TqmG3iDyeyRJ+ciZmQyXpAPWdA==" saltValue="WK0NQ4qqW1BXRTYhb7lqVA==" spinCount="100000" sheet="1" objects="1" scenarios="1" formatCells="0"/>
  <mergeCells count="7">
    <mergeCell ref="A6:D6"/>
    <mergeCell ref="A5:C5"/>
    <mergeCell ref="A38:G38"/>
    <mergeCell ref="A41:C41"/>
    <mergeCell ref="D41:I41"/>
    <mergeCell ref="D25:I25"/>
    <mergeCell ref="A33:C3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23FF44B-FAA8-4791-962C-5B4125C790F0}">
          <x14:formula1>
            <xm:f>Sheet2!$H$13:$H$14</xm:f>
          </x14:formula1>
          <xm:sqref>D24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3A19-35BE-4C27-ADF1-AD6B36462518}">
  <dimension ref="A1:J45"/>
  <sheetViews>
    <sheetView zoomScale="90" zoomScaleNormal="90" workbookViewId="0">
      <selection activeCell="D28" sqref="D28"/>
    </sheetView>
  </sheetViews>
  <sheetFormatPr defaultRowHeight="15"/>
  <cols>
    <col min="1" max="1" width="46.28515625" customWidth="1"/>
    <col min="4" max="4" width="10.28515625" bestFit="1" customWidth="1"/>
  </cols>
  <sheetData>
    <row r="1" spans="1:10">
      <c r="A1" s="7" t="s">
        <v>888</v>
      </c>
      <c r="B1" s="2"/>
      <c r="C1" s="2"/>
      <c r="D1" s="2"/>
      <c r="E1" s="2"/>
      <c r="F1" s="2"/>
      <c r="G1" s="2"/>
      <c r="H1" s="2"/>
      <c r="I1" s="2"/>
      <c r="J1" s="2"/>
    </row>
    <row r="2" spans="1:10">
      <c r="A2" s="2" t="str">
        <f>'Configuration Selection'!A10</f>
        <v>Aircraft engine type:</v>
      </c>
      <c r="B2" s="2"/>
      <c r="C2" s="2"/>
      <c r="D2" s="2" t="str">
        <f>'Configuration Selection'!B10</f>
        <v>jet</v>
      </c>
      <c r="E2" s="2"/>
      <c r="F2" s="2"/>
      <c r="G2" s="2"/>
      <c r="H2" s="2"/>
      <c r="I2" s="2"/>
      <c r="J2" s="2"/>
    </row>
    <row r="3" spans="1:10">
      <c r="A3" s="2" t="str">
        <f>'Configuration Selection'!A11</f>
        <v>No. of engines</v>
      </c>
      <c r="B3" s="2"/>
      <c r="C3" s="2"/>
      <c r="D3" s="2">
        <f>'Configuration Selection'!B11</f>
        <v>2</v>
      </c>
      <c r="E3" s="2"/>
      <c r="F3" s="2"/>
      <c r="G3" s="2"/>
      <c r="H3" s="2"/>
      <c r="I3" s="2"/>
      <c r="J3" s="2"/>
    </row>
    <row r="4" spans="1:10">
      <c r="A4" s="2" t="str">
        <f>'Configuration Selection'!A13</f>
        <v>Integration</v>
      </c>
      <c r="B4" s="2"/>
      <c r="C4" s="2"/>
      <c r="D4" s="2" t="str">
        <f>'Configuration Selection'!B13</f>
        <v>On fuselage side</v>
      </c>
      <c r="E4" s="2"/>
      <c r="F4" s="2"/>
      <c r="G4" s="2"/>
      <c r="H4" s="2"/>
      <c r="I4" s="2"/>
      <c r="J4" s="2"/>
    </row>
    <row r="5" spans="1:10">
      <c r="A5" s="323" t="s">
        <v>889</v>
      </c>
      <c r="B5" s="323"/>
      <c r="C5" s="338"/>
      <c r="D5" s="1" t="s">
        <v>875</v>
      </c>
      <c r="E5" s="2"/>
      <c r="F5" s="2"/>
      <c r="G5" s="2"/>
      <c r="H5" s="2"/>
      <c r="I5" s="2"/>
      <c r="J5" s="2"/>
    </row>
    <row r="6" spans="1:10" ht="30" customHeight="1">
      <c r="A6" s="337" t="s">
        <v>890</v>
      </c>
      <c r="B6" s="337"/>
      <c r="C6" s="337"/>
      <c r="D6" s="337"/>
      <c r="E6" s="2"/>
      <c r="F6" s="2"/>
      <c r="G6" s="2"/>
      <c r="H6" s="2"/>
      <c r="I6" s="2"/>
      <c r="J6" s="2"/>
    </row>
    <row r="7" spans="1:10">
      <c r="A7" s="2"/>
      <c r="B7" s="2"/>
      <c r="C7" s="2"/>
      <c r="D7" s="2"/>
      <c r="E7" s="2"/>
      <c r="F7" s="2"/>
      <c r="G7" s="2"/>
      <c r="H7" s="2"/>
      <c r="I7" s="2"/>
      <c r="J7" s="2"/>
    </row>
    <row r="8" spans="1:10">
      <c r="A8" s="7" t="s">
        <v>891</v>
      </c>
      <c r="B8" s="2"/>
      <c r="C8" s="2"/>
      <c r="D8" s="2"/>
      <c r="E8" s="7" t="s">
        <v>1</v>
      </c>
      <c r="F8" s="2"/>
      <c r="G8" s="2"/>
      <c r="H8" s="2"/>
      <c r="I8" s="2"/>
      <c r="J8" s="2"/>
    </row>
    <row r="9" spans="1:10">
      <c r="A9" s="2" t="s">
        <v>892</v>
      </c>
      <c r="B9" s="2"/>
      <c r="C9" s="2"/>
      <c r="D9" s="1"/>
      <c r="E9" s="2" t="s">
        <v>5</v>
      </c>
      <c r="F9" s="2"/>
      <c r="G9" s="2"/>
      <c r="H9" s="2"/>
      <c r="I9" s="2"/>
      <c r="J9" s="2"/>
    </row>
    <row r="10" spans="1:10">
      <c r="A10" s="2" t="s">
        <v>893</v>
      </c>
      <c r="B10" s="2"/>
      <c r="C10" s="2"/>
      <c r="D10" s="1"/>
      <c r="E10" s="2" t="s">
        <v>5</v>
      </c>
      <c r="F10" s="2"/>
      <c r="G10" s="2"/>
      <c r="H10" s="2"/>
      <c r="I10" s="2"/>
      <c r="J10" s="2"/>
    </row>
    <row r="11" spans="1:10">
      <c r="A11" s="2" t="s">
        <v>894</v>
      </c>
      <c r="B11" s="2"/>
      <c r="C11" s="2"/>
      <c r="D11" s="1"/>
      <c r="E11" s="2" t="s">
        <v>5</v>
      </c>
      <c r="F11" s="2"/>
      <c r="G11" s="2"/>
      <c r="H11" s="2"/>
      <c r="I11" s="2"/>
      <c r="J11" s="2"/>
    </row>
    <row r="12" spans="1:10">
      <c r="A12" s="2" t="s">
        <v>895</v>
      </c>
      <c r="B12" s="2"/>
      <c r="C12" s="2"/>
      <c r="D12" s="1"/>
      <c r="E12" s="2" t="s">
        <v>5</v>
      </c>
      <c r="F12" s="2"/>
      <c r="G12" s="2"/>
      <c r="H12" s="2"/>
      <c r="I12" s="2"/>
      <c r="J12" s="2"/>
    </row>
    <row r="13" spans="1:10">
      <c r="A13" s="2" t="s">
        <v>896</v>
      </c>
      <c r="B13" s="2"/>
      <c r="C13" s="2"/>
      <c r="D13" s="1"/>
      <c r="E13" s="2" t="s">
        <v>5</v>
      </c>
      <c r="F13" s="2"/>
      <c r="G13" s="2"/>
      <c r="H13" s="2"/>
      <c r="I13" s="2"/>
      <c r="J13" s="2"/>
    </row>
    <row r="14" spans="1:10">
      <c r="A14" s="2" t="s">
        <v>897</v>
      </c>
      <c r="B14" s="2"/>
      <c r="C14" s="2"/>
      <c r="D14" s="1"/>
      <c r="E14" s="2" t="s">
        <v>5</v>
      </c>
      <c r="F14" s="2"/>
      <c r="G14" s="2"/>
      <c r="H14" s="2"/>
      <c r="I14" s="2"/>
      <c r="J14" s="2"/>
    </row>
    <row r="15" spans="1:10">
      <c r="A15" s="37" t="s">
        <v>898</v>
      </c>
      <c r="B15" s="2"/>
      <c r="C15" s="2"/>
      <c r="D15" s="2"/>
      <c r="E15" s="2"/>
      <c r="F15" s="2"/>
      <c r="G15" s="2"/>
      <c r="H15" s="2"/>
      <c r="I15" s="2"/>
      <c r="J15" s="2"/>
    </row>
    <row r="16" spans="1:10">
      <c r="A16" s="2"/>
      <c r="B16" s="2"/>
      <c r="C16" s="2"/>
      <c r="D16" s="2"/>
      <c r="E16" s="2"/>
      <c r="F16" s="2"/>
      <c r="G16" s="2"/>
      <c r="H16" s="2"/>
      <c r="I16" s="2"/>
      <c r="J16" s="2"/>
    </row>
    <row r="17" spans="1:10">
      <c r="A17" s="7" t="s">
        <v>899</v>
      </c>
      <c r="B17" s="2"/>
      <c r="C17" s="2"/>
      <c r="D17" s="2"/>
      <c r="E17" s="7" t="s">
        <v>1</v>
      </c>
      <c r="F17" s="2"/>
      <c r="G17" s="2"/>
      <c r="H17" s="2"/>
      <c r="I17" s="2"/>
      <c r="J17" s="2"/>
    </row>
    <row r="18" spans="1:10">
      <c r="A18" s="2" t="s">
        <v>900</v>
      </c>
      <c r="B18" s="2"/>
      <c r="C18" s="2"/>
      <c r="D18" s="2">
        <f>'Drag Polar'!D31</f>
        <v>5</v>
      </c>
      <c r="E18" s="7"/>
      <c r="F18" s="2"/>
      <c r="G18" s="2"/>
      <c r="H18" s="2"/>
      <c r="I18" s="2"/>
      <c r="J18" s="2"/>
    </row>
    <row r="19" spans="1:10" ht="18">
      <c r="A19" s="2" t="s">
        <v>901</v>
      </c>
      <c r="B19" s="2"/>
      <c r="C19" s="2"/>
      <c r="D19" s="14">
        <f>(1830+1970)/2</f>
        <v>1900</v>
      </c>
      <c r="E19" s="2" t="s">
        <v>528</v>
      </c>
      <c r="F19" s="2"/>
      <c r="G19" s="2"/>
      <c r="H19" s="2"/>
      <c r="I19" s="2"/>
      <c r="J19" s="2"/>
    </row>
    <row r="20" spans="1:10" ht="18">
      <c r="A20" s="2" t="s">
        <v>902</v>
      </c>
      <c r="B20" s="2"/>
      <c r="C20" s="2"/>
      <c r="D20" s="14">
        <v>0.75</v>
      </c>
      <c r="E20" s="2" t="s">
        <v>331</v>
      </c>
      <c r="F20" s="2"/>
      <c r="G20" s="2"/>
      <c r="H20" s="2"/>
      <c r="I20" s="2"/>
      <c r="J20" s="2"/>
    </row>
    <row r="21" spans="1:10" ht="18">
      <c r="A21" s="2" t="s">
        <v>903</v>
      </c>
      <c r="B21" s="2"/>
      <c r="C21" s="2"/>
      <c r="D21" s="14">
        <v>0.97</v>
      </c>
      <c r="E21" s="2" t="s">
        <v>331</v>
      </c>
      <c r="F21" s="2"/>
      <c r="G21" s="2"/>
      <c r="H21" s="2"/>
      <c r="I21" s="2"/>
      <c r="J21" s="2"/>
    </row>
    <row r="22" spans="1:10">
      <c r="A22" s="2" t="s">
        <v>904</v>
      </c>
      <c r="B22" s="2"/>
      <c r="C22" s="2"/>
      <c r="D22" s="114">
        <f>((D19)/(600))-1.25</f>
        <v>1.9166666666666665</v>
      </c>
      <c r="E22" s="2" t="s">
        <v>331</v>
      </c>
      <c r="F22" s="2"/>
      <c r="G22" s="2"/>
      <c r="H22" s="2"/>
      <c r="I22" s="2"/>
      <c r="J22" s="2"/>
    </row>
    <row r="23" spans="1:10">
      <c r="A23" s="2" t="s">
        <v>905</v>
      </c>
      <c r="B23" s="2"/>
      <c r="C23" s="2"/>
      <c r="D23" s="84">
        <f>(('Matching Diagram'!D94*1000)/(D3*340))*((1+D18)/(SQRT(5*D21*D22*(1+D20*D18))))</f>
        <v>157.30013476363712</v>
      </c>
      <c r="E23" s="2" t="s">
        <v>906</v>
      </c>
      <c r="F23" s="2"/>
      <c r="G23" s="2"/>
      <c r="H23" s="2"/>
      <c r="I23" s="2"/>
      <c r="J23" s="2"/>
    </row>
    <row r="24" spans="1:10">
      <c r="A24" s="2" t="s">
        <v>907</v>
      </c>
      <c r="B24" s="2"/>
      <c r="C24" s="2"/>
      <c r="D24" s="1" t="s">
        <v>453</v>
      </c>
      <c r="E24" s="2"/>
      <c r="F24" s="2"/>
      <c r="G24" s="2"/>
      <c r="H24" s="2"/>
      <c r="I24" s="2"/>
      <c r="J24" s="2"/>
    </row>
    <row r="25" spans="1:10" ht="46.9" customHeight="1">
      <c r="A25" s="2" t="s">
        <v>908</v>
      </c>
      <c r="B25" s="2"/>
      <c r="C25" s="2"/>
      <c r="D25" s="341" t="s">
        <v>923</v>
      </c>
      <c r="E25" s="341"/>
      <c r="F25" s="341"/>
      <c r="G25" s="341"/>
      <c r="H25" s="341"/>
      <c r="I25" s="341"/>
      <c r="J25" s="2"/>
    </row>
    <row r="26" spans="1:10">
      <c r="A26" s="2" t="s">
        <v>909</v>
      </c>
      <c r="B26" s="2"/>
      <c r="C26" s="2"/>
      <c r="D26" s="83">
        <f>1.65*SQRT(((D23)/(1.225*340)+0.005)/(1-('Matching Diagram'!AQ95)^2))</f>
        <v>1.039291926474031</v>
      </c>
      <c r="E26" s="2" t="s">
        <v>5</v>
      </c>
      <c r="F26" s="2"/>
      <c r="G26" s="2"/>
      <c r="H26" s="2"/>
      <c r="I26" s="2"/>
      <c r="J26" s="2"/>
    </row>
    <row r="27" spans="1:10">
      <c r="A27" s="2" t="s">
        <v>910</v>
      </c>
      <c r="B27" s="2"/>
      <c r="C27" s="2"/>
      <c r="D27" s="83">
        <v>3.9</v>
      </c>
      <c r="E27" s="2" t="s">
        <v>5</v>
      </c>
      <c r="F27" s="2"/>
      <c r="G27" s="2"/>
      <c r="H27" s="2"/>
      <c r="I27" s="2"/>
      <c r="J27" s="2"/>
    </row>
    <row r="28" spans="1:10">
      <c r="A28" s="2" t="s">
        <v>911</v>
      </c>
      <c r="B28" s="2"/>
      <c r="C28" s="2"/>
      <c r="D28" s="1">
        <v>1</v>
      </c>
      <c r="E28" s="2" t="s">
        <v>331</v>
      </c>
      <c r="F28" s="2"/>
      <c r="G28" s="2"/>
      <c r="H28" s="2"/>
      <c r="I28" s="2"/>
      <c r="J28" s="2"/>
    </row>
    <row r="29" spans="1:10">
      <c r="A29" s="2" t="s">
        <v>912</v>
      </c>
      <c r="B29" s="2"/>
      <c r="C29" s="2"/>
      <c r="D29" s="83">
        <f>D28*D27</f>
        <v>3.9</v>
      </c>
      <c r="E29" s="2" t="s">
        <v>5</v>
      </c>
      <c r="F29" s="2"/>
      <c r="G29" s="2"/>
      <c r="H29" s="2"/>
      <c r="I29" s="2"/>
      <c r="J29" s="2"/>
    </row>
    <row r="30" spans="1:10">
      <c r="A30" s="2" t="s">
        <v>913</v>
      </c>
      <c r="B30" s="2"/>
      <c r="C30" s="2"/>
      <c r="D30" s="83">
        <f>D26+0.06*D29+0.03</f>
        <v>1.303291926474031</v>
      </c>
      <c r="E30" s="2" t="s">
        <v>5</v>
      </c>
      <c r="F30" s="2"/>
      <c r="G30" s="2"/>
      <c r="H30" s="2"/>
      <c r="I30" s="2"/>
      <c r="J30" s="2"/>
    </row>
    <row r="31" spans="1:10">
      <c r="A31" s="2" t="s">
        <v>914</v>
      </c>
      <c r="B31" s="2"/>
      <c r="C31" s="2"/>
      <c r="D31" s="82">
        <f>D30*(1-((D28^2)/(3)))</f>
        <v>0.86886128431602083</v>
      </c>
      <c r="E31" s="2" t="s">
        <v>5</v>
      </c>
      <c r="F31" s="2"/>
      <c r="G31" s="2"/>
      <c r="H31" s="2"/>
      <c r="I31" s="2"/>
      <c r="J31" s="2"/>
    </row>
    <row r="32" spans="1:10">
      <c r="A32" s="2" t="s">
        <v>915</v>
      </c>
      <c r="B32" s="2"/>
      <c r="C32" s="2"/>
      <c r="D32" s="1"/>
      <c r="E32" s="2" t="s">
        <v>5</v>
      </c>
      <c r="F32" s="2"/>
      <c r="G32" s="2"/>
      <c r="H32" s="2"/>
      <c r="I32" s="2"/>
      <c r="J32" s="2"/>
    </row>
    <row r="33" spans="1:10" ht="30" customHeight="1">
      <c r="A33" s="312" t="s">
        <v>916</v>
      </c>
      <c r="B33" s="312"/>
      <c r="C33" s="339"/>
      <c r="D33" s="82"/>
      <c r="E33" s="2" t="s">
        <v>5</v>
      </c>
      <c r="F33" s="2"/>
      <c r="G33" s="2"/>
      <c r="H33" s="2"/>
      <c r="I33" s="2"/>
      <c r="J33" s="2"/>
    </row>
    <row r="34" spans="1:10">
      <c r="A34" s="2" t="s">
        <v>917</v>
      </c>
      <c r="B34" s="2"/>
      <c r="C34" s="2"/>
      <c r="D34" s="1"/>
      <c r="E34" s="2" t="s">
        <v>5</v>
      </c>
      <c r="F34" s="2"/>
      <c r="G34" s="2"/>
      <c r="H34" s="2"/>
      <c r="I34" s="2"/>
      <c r="J34" s="2"/>
    </row>
    <row r="35" spans="1:10">
      <c r="A35" s="37" t="s">
        <v>898</v>
      </c>
      <c r="B35" s="2"/>
      <c r="C35" s="2"/>
      <c r="D35" s="2"/>
      <c r="E35" s="2"/>
      <c r="F35" s="2"/>
      <c r="G35" s="2"/>
      <c r="H35" s="2"/>
      <c r="I35" s="2"/>
      <c r="J35" s="2"/>
    </row>
    <row r="36" spans="1:10">
      <c r="A36" s="2"/>
      <c r="B36" s="2"/>
      <c r="C36" s="2"/>
      <c r="D36" s="2"/>
      <c r="E36" s="2"/>
      <c r="F36" s="2"/>
      <c r="G36" s="2"/>
      <c r="H36" s="2"/>
      <c r="I36" s="2"/>
      <c r="J36" s="2"/>
    </row>
    <row r="37" spans="1:10">
      <c r="A37" s="7" t="s">
        <v>918</v>
      </c>
      <c r="B37" s="2"/>
      <c r="C37" s="2"/>
      <c r="D37" s="2"/>
      <c r="E37" s="2"/>
      <c r="F37" s="2"/>
      <c r="G37" s="2"/>
      <c r="H37" s="2"/>
      <c r="I37" s="2"/>
      <c r="J37" s="2"/>
    </row>
    <row r="38" spans="1:10" ht="30" customHeight="1">
      <c r="A38" s="337" t="s">
        <v>919</v>
      </c>
      <c r="B38" s="337"/>
      <c r="C38" s="337"/>
      <c r="D38" s="337"/>
      <c r="E38" s="337"/>
      <c r="F38" s="337"/>
      <c r="G38" s="337"/>
      <c r="H38" s="2"/>
      <c r="I38" s="2"/>
      <c r="J38" s="2"/>
    </row>
    <row r="39" spans="1:10">
      <c r="A39" s="37" t="s">
        <v>920</v>
      </c>
      <c r="B39" s="2"/>
      <c r="C39" s="2"/>
      <c r="D39" s="2"/>
      <c r="E39" s="2"/>
      <c r="F39" s="2"/>
      <c r="G39" s="2"/>
      <c r="H39" s="2"/>
      <c r="I39" s="2"/>
      <c r="J39" s="2"/>
    </row>
    <row r="40" spans="1:10">
      <c r="A40" s="49" t="s">
        <v>921</v>
      </c>
      <c r="B40" s="2"/>
      <c r="C40" s="2"/>
      <c r="D40" s="2"/>
      <c r="E40" s="2"/>
      <c r="F40" s="2"/>
      <c r="G40" s="2"/>
      <c r="H40" s="2"/>
      <c r="I40" s="2"/>
      <c r="J40" s="2"/>
    </row>
    <row r="41" spans="1:10" ht="90" customHeight="1">
      <c r="A41" s="312" t="s">
        <v>922</v>
      </c>
      <c r="B41" s="312"/>
      <c r="C41" s="339"/>
      <c r="D41" s="309" t="s">
        <v>924</v>
      </c>
      <c r="E41" s="309"/>
      <c r="F41" s="309"/>
      <c r="G41" s="309"/>
      <c r="H41" s="309"/>
      <c r="I41" s="309"/>
      <c r="J41" s="2"/>
    </row>
    <row r="42" spans="1:10">
      <c r="A42" s="2"/>
      <c r="B42" s="2"/>
      <c r="C42" s="2"/>
      <c r="D42" s="2"/>
      <c r="E42" s="2"/>
      <c r="F42" s="2"/>
      <c r="G42" s="2"/>
      <c r="H42" s="2"/>
      <c r="I42" s="2"/>
      <c r="J42" s="2"/>
    </row>
    <row r="43" spans="1:10">
      <c r="A43" s="7" t="s">
        <v>47</v>
      </c>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sheetData>
  <mergeCells count="7">
    <mergeCell ref="A41:C41"/>
    <mergeCell ref="D41:I41"/>
    <mergeCell ref="A5:C5"/>
    <mergeCell ref="A6:D6"/>
    <mergeCell ref="D25:I25"/>
    <mergeCell ref="A33:C33"/>
    <mergeCell ref="A38:G38"/>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90051B-880B-45ED-A0FE-D2C0C71BD1F8}">
          <x14:formula1>
            <xm:f>Sheet2!$H$13:$H$14</xm:f>
          </x14:formula1>
          <xm:sqref>D24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3564-745F-4A75-9D39-D4C6FC2C711E}">
  <dimension ref="A1:N43"/>
  <sheetViews>
    <sheetView zoomScale="60" zoomScaleNormal="60" workbookViewId="0">
      <selection activeCell="B25" sqref="B25"/>
    </sheetView>
  </sheetViews>
  <sheetFormatPr defaultRowHeight="15"/>
  <cols>
    <col min="1" max="1" width="36.7109375" customWidth="1"/>
    <col min="2" max="2" width="15.28515625" customWidth="1"/>
    <col min="3" max="3" width="14" customWidth="1"/>
    <col min="4" max="4" width="14.7109375" customWidth="1"/>
    <col min="5" max="5" width="15.7109375" customWidth="1"/>
    <col min="6" max="6" width="14.28515625" customWidth="1"/>
  </cols>
  <sheetData>
    <row r="1" spans="1:14">
      <c r="A1" s="7" t="s">
        <v>0</v>
      </c>
      <c r="B1" s="2"/>
      <c r="C1" s="2"/>
      <c r="D1" s="2"/>
      <c r="E1" s="2"/>
      <c r="F1" s="2"/>
      <c r="G1" s="2"/>
      <c r="H1" s="2"/>
      <c r="I1" s="2"/>
      <c r="J1" s="2"/>
      <c r="K1" s="2"/>
      <c r="L1" s="2"/>
      <c r="M1" s="2"/>
      <c r="N1" s="2"/>
    </row>
    <row r="2" spans="1:14">
      <c r="A2" s="2"/>
      <c r="B2" s="2"/>
      <c r="C2" s="7" t="s">
        <v>1</v>
      </c>
      <c r="D2" s="2"/>
      <c r="E2" s="2"/>
      <c r="F2" s="2"/>
      <c r="G2" s="7" t="s">
        <v>1</v>
      </c>
      <c r="H2" s="2"/>
      <c r="I2" s="2"/>
      <c r="J2" s="2"/>
      <c r="K2" s="2"/>
      <c r="L2" s="2"/>
      <c r="M2" s="2"/>
      <c r="N2" s="2"/>
    </row>
    <row r="3" spans="1:14" ht="31.5">
      <c r="A3" s="50" t="s">
        <v>2</v>
      </c>
      <c r="B3" s="61">
        <v>0.15</v>
      </c>
      <c r="C3" s="51" t="s">
        <v>3</v>
      </c>
      <c r="D3" s="52"/>
      <c r="E3" s="51" t="s">
        <v>4</v>
      </c>
      <c r="F3" s="53">
        <f>Fuselage!B61</f>
        <v>0</v>
      </c>
      <c r="G3" s="51" t="s">
        <v>5</v>
      </c>
      <c r="H3" s="2"/>
      <c r="I3" s="2"/>
      <c r="J3" s="2"/>
      <c r="K3" s="2"/>
      <c r="L3" s="2"/>
      <c r="M3" s="2"/>
      <c r="N3" s="2"/>
    </row>
    <row r="4" spans="1:14">
      <c r="A4" s="52"/>
      <c r="B4" s="54"/>
      <c r="C4" s="52"/>
      <c r="D4" s="52"/>
      <c r="E4" s="51" t="s">
        <v>7</v>
      </c>
      <c r="F4" s="53">
        <f>IF('Propulsion System'!D2="propeller",'Propulsion System'!B10,'Propulsion System'!B27)</f>
        <v>0</v>
      </c>
      <c r="G4" s="51" t="s">
        <v>5</v>
      </c>
      <c r="H4" s="2"/>
      <c r="I4" s="2"/>
      <c r="J4" s="2"/>
      <c r="K4" s="2"/>
      <c r="L4" s="2"/>
      <c r="M4" s="2"/>
      <c r="N4" s="2"/>
    </row>
    <row r="5" spans="1:14">
      <c r="A5" s="52"/>
      <c r="B5" s="52"/>
      <c r="C5" s="52"/>
      <c r="D5" s="52"/>
      <c r="E5" s="51" t="s">
        <v>8</v>
      </c>
      <c r="F5" s="115">
        <f>Wing!B19</f>
        <v>3.4372348993288591</v>
      </c>
      <c r="G5" s="51" t="s">
        <v>5</v>
      </c>
      <c r="H5" s="2"/>
      <c r="I5" s="2"/>
      <c r="J5" s="2"/>
      <c r="K5" s="2"/>
      <c r="L5" s="2"/>
      <c r="M5" s="2"/>
      <c r="N5" s="2"/>
    </row>
    <row r="6" spans="1:14">
      <c r="A6" s="52"/>
      <c r="B6" s="52"/>
      <c r="C6" s="52"/>
      <c r="D6" s="52"/>
      <c r="E6" s="55" t="str">
        <f>IF(OR('Configuration Selection'!$B$13="Under wing",'Configuration Selection'!$B$13="Over wing",'Configuration Selection'!$B$13="Burried in the wing"),"x_hl","X_hl")</f>
        <v>X_hl</v>
      </c>
      <c r="F6" s="116">
        <f>0.4*'Propultion System 2'!D27</f>
        <v>1.56</v>
      </c>
      <c r="G6" s="55" t="s">
        <v>5</v>
      </c>
      <c r="H6" s="2"/>
      <c r="I6" s="2"/>
      <c r="J6" s="2"/>
      <c r="K6" s="2"/>
      <c r="L6" s="2"/>
      <c r="M6" s="2"/>
      <c r="N6" s="2"/>
    </row>
    <row r="7" spans="1:14">
      <c r="A7" s="51"/>
      <c r="B7" s="51"/>
      <c r="C7" s="51"/>
      <c r="D7" s="51"/>
      <c r="E7" s="51"/>
      <c r="F7" s="51"/>
      <c r="G7" s="51"/>
      <c r="H7" s="2"/>
      <c r="I7" s="2"/>
      <c r="J7" s="2"/>
      <c r="K7" s="2"/>
      <c r="L7" s="2"/>
      <c r="M7" s="2"/>
      <c r="N7" s="2"/>
    </row>
    <row r="8" spans="1:14" ht="21" customHeight="1" thickBot="1">
      <c r="A8" s="56"/>
      <c r="B8" s="253" t="s">
        <v>9</v>
      </c>
      <c r="C8" s="253"/>
      <c r="D8" s="253"/>
      <c r="E8" s="253" t="s">
        <v>10</v>
      </c>
      <c r="F8" s="253"/>
      <c r="G8" s="253"/>
      <c r="H8" s="2"/>
      <c r="I8" s="2"/>
      <c r="J8" s="2"/>
      <c r="K8" s="2"/>
      <c r="L8" s="2"/>
      <c r="M8" s="2"/>
      <c r="N8" s="2"/>
    </row>
    <row r="9" spans="1:14" ht="18">
      <c r="A9" s="74" t="s">
        <v>11</v>
      </c>
      <c r="B9" s="76" t="s">
        <v>12</v>
      </c>
      <c r="C9" s="76" t="s">
        <v>13</v>
      </c>
      <c r="D9" s="76" t="s">
        <v>14</v>
      </c>
      <c r="E9" s="76" t="s">
        <v>15</v>
      </c>
      <c r="F9" s="76" t="s">
        <v>16</v>
      </c>
      <c r="G9" s="76" t="s">
        <v>17</v>
      </c>
      <c r="H9" s="2"/>
      <c r="I9" s="2"/>
      <c r="J9" s="2"/>
      <c r="K9" s="2"/>
      <c r="L9" s="2"/>
      <c r="M9" s="2"/>
      <c r="N9" s="2"/>
    </row>
    <row r="10" spans="1:14">
      <c r="A10" s="51" t="s">
        <v>18</v>
      </c>
      <c r="B10" s="63"/>
      <c r="C10" s="63"/>
      <c r="D10" s="63"/>
      <c r="E10" s="61">
        <v>9.1999999999999998E-2</v>
      </c>
      <c r="F10" s="61">
        <v>1.5</v>
      </c>
      <c r="G10" s="119">
        <f>E10*F10</f>
        <v>0.13800000000000001</v>
      </c>
      <c r="H10" s="2"/>
      <c r="I10" s="2"/>
      <c r="J10" s="2"/>
      <c r="K10" s="2"/>
      <c r="L10" s="2"/>
      <c r="M10" s="2"/>
      <c r="N10" s="2"/>
    </row>
    <row r="11" spans="1:14">
      <c r="A11" s="51" t="s">
        <v>19</v>
      </c>
      <c r="B11" s="61">
        <v>2.4E-2</v>
      </c>
      <c r="C11" s="61">
        <v>38</v>
      </c>
      <c r="D11" s="61">
        <f>B11*C11</f>
        <v>0.91200000000000003</v>
      </c>
      <c r="E11" s="63"/>
      <c r="F11" s="63"/>
      <c r="G11" s="63"/>
      <c r="H11" s="2"/>
      <c r="I11" s="2"/>
      <c r="J11" s="2"/>
      <c r="K11" s="2"/>
      <c r="L11" s="2"/>
      <c r="M11" s="2"/>
      <c r="N11" s="2"/>
    </row>
    <row r="12" spans="1:14">
      <c r="A12" s="51" t="s">
        <v>20</v>
      </c>
      <c r="B12" s="61">
        <v>0.8</v>
      </c>
      <c r="C12" s="61">
        <v>18.5</v>
      </c>
      <c r="D12" s="61">
        <f t="shared" ref="D12:D15" si="0">B12*C12</f>
        <v>14.8</v>
      </c>
      <c r="E12" s="63"/>
      <c r="F12" s="63"/>
      <c r="G12" s="63"/>
      <c r="H12" s="2"/>
      <c r="I12" s="2"/>
      <c r="J12" s="2"/>
      <c r="K12" s="2"/>
      <c r="L12" s="2"/>
      <c r="M12" s="2"/>
      <c r="N12" s="2"/>
    </row>
    <row r="13" spans="1:14">
      <c r="A13" s="51" t="s">
        <v>925</v>
      </c>
      <c r="B13" s="61">
        <v>1.6E-2</v>
      </c>
      <c r="C13" s="61">
        <f>0.8*40</f>
        <v>32</v>
      </c>
      <c r="D13" s="61">
        <f t="shared" si="0"/>
        <v>0.51200000000000001</v>
      </c>
      <c r="E13" s="63"/>
      <c r="F13" s="63"/>
      <c r="G13" s="63"/>
      <c r="H13" s="2"/>
      <c r="I13" s="2"/>
      <c r="J13" s="2"/>
      <c r="K13" s="2"/>
      <c r="L13" s="2"/>
      <c r="M13" s="2"/>
      <c r="N13" s="2"/>
    </row>
    <row r="14" spans="1:14">
      <c r="A14" s="51" t="s">
        <v>22</v>
      </c>
      <c r="B14" s="61">
        <v>0.106</v>
      </c>
      <c r="C14" s="61">
        <v>32</v>
      </c>
      <c r="D14" s="118">
        <f t="shared" si="0"/>
        <v>3.3919999999999999</v>
      </c>
      <c r="E14" s="63"/>
      <c r="F14" s="63"/>
      <c r="G14" s="63"/>
      <c r="H14" s="2"/>
      <c r="I14" s="2"/>
      <c r="J14" s="2"/>
      <c r="K14" s="2"/>
      <c r="L14" s="2"/>
      <c r="M14" s="2"/>
      <c r="N14" s="2"/>
    </row>
    <row r="15" spans="1:14" ht="15.75" thickBot="1">
      <c r="A15" s="69" t="s">
        <v>926</v>
      </c>
      <c r="B15" s="70">
        <v>0.153</v>
      </c>
      <c r="C15" s="70">
        <v>18.5</v>
      </c>
      <c r="D15" s="118">
        <f t="shared" si="0"/>
        <v>2.8304999999999998</v>
      </c>
      <c r="E15" s="71"/>
      <c r="F15" s="71"/>
      <c r="G15" s="71"/>
      <c r="H15" s="2"/>
      <c r="I15" s="2"/>
      <c r="J15" s="2"/>
      <c r="K15" s="2"/>
      <c r="L15" s="2"/>
      <c r="M15" s="2"/>
      <c r="N15" s="2"/>
    </row>
    <row r="16" spans="1:14">
      <c r="A16" s="75" t="s">
        <v>25</v>
      </c>
      <c r="B16" s="68">
        <f>SUM(B10:B15)</f>
        <v>1.099</v>
      </c>
      <c r="C16" s="120">
        <f>SUM(D10:D15)/B16</f>
        <v>20.424476797088264</v>
      </c>
      <c r="D16" s="67"/>
      <c r="E16" s="68">
        <f>E10</f>
        <v>9.1999999999999998E-2</v>
      </c>
      <c r="F16" s="68">
        <f>G10/E16</f>
        <v>1.5000000000000002</v>
      </c>
      <c r="G16" s="67"/>
      <c r="H16" s="2"/>
      <c r="I16" s="2"/>
      <c r="J16" s="2"/>
      <c r="K16" s="2"/>
      <c r="L16" s="2"/>
      <c r="M16" s="2"/>
      <c r="N16" s="2"/>
    </row>
    <row r="17" spans="1:14">
      <c r="A17" s="51"/>
      <c r="B17" s="53"/>
      <c r="C17" s="53"/>
      <c r="D17" s="52"/>
      <c r="E17" s="53"/>
      <c r="F17" s="53"/>
      <c r="G17" s="52"/>
      <c r="H17" s="2"/>
      <c r="I17" s="2"/>
      <c r="J17" s="2"/>
      <c r="K17" s="2"/>
      <c r="L17" s="2"/>
      <c r="M17" s="2"/>
      <c r="N17" s="2"/>
    </row>
    <row r="18" spans="1:14">
      <c r="A18" s="51"/>
      <c r="B18" s="53"/>
      <c r="C18" s="53"/>
      <c r="D18" s="65" t="s">
        <v>1</v>
      </c>
      <c r="E18" s="53"/>
      <c r="F18" s="53"/>
      <c r="G18" s="52"/>
      <c r="H18" s="2"/>
      <c r="I18" s="2"/>
      <c r="J18" s="2"/>
      <c r="K18" s="2"/>
      <c r="L18" s="2"/>
      <c r="M18" s="2"/>
      <c r="N18" s="2"/>
    </row>
    <row r="19" spans="1:14" ht="31.5">
      <c r="A19" s="52" t="s">
        <v>26</v>
      </c>
      <c r="B19" s="50" t="s">
        <v>27</v>
      </c>
      <c r="C19" s="118">
        <f>C16+F5*(((F16)/(F5))*((E16)/(B16))-B3*(1+((E16)/(B16))))</f>
        <v>19.991299349622295</v>
      </c>
      <c r="D19" s="2" t="s">
        <v>5</v>
      </c>
      <c r="E19" s="2"/>
      <c r="F19" s="52"/>
      <c r="G19" s="52"/>
      <c r="H19" s="2"/>
      <c r="I19" s="2"/>
      <c r="J19" s="2"/>
      <c r="K19" s="2"/>
      <c r="L19" s="2"/>
      <c r="M19" s="2"/>
      <c r="N19" s="2"/>
    </row>
    <row r="20" spans="1:14" ht="18">
      <c r="A20" s="2"/>
      <c r="B20" s="52" t="s">
        <v>29</v>
      </c>
      <c r="C20" s="121">
        <f>C19+F5</f>
        <v>23.428534248951156</v>
      </c>
      <c r="D20" s="52" t="s">
        <v>5</v>
      </c>
      <c r="E20" s="52"/>
      <c r="F20" s="52"/>
      <c r="G20" s="52"/>
      <c r="H20" s="2"/>
      <c r="I20" s="2"/>
      <c r="J20" s="2"/>
      <c r="K20" s="2"/>
      <c r="L20" s="2"/>
      <c r="M20" s="2"/>
      <c r="N20" s="2"/>
    </row>
    <row r="21" spans="1:14">
      <c r="A21" s="57" t="s">
        <v>30</v>
      </c>
      <c r="B21" s="2"/>
      <c r="C21" s="2"/>
      <c r="D21" s="2"/>
      <c r="E21" s="2"/>
      <c r="F21" s="2"/>
      <c r="G21" s="2"/>
      <c r="H21" s="2"/>
      <c r="I21" s="2"/>
      <c r="J21" s="2"/>
      <c r="K21" s="2"/>
      <c r="L21" s="2"/>
      <c r="M21" s="2"/>
      <c r="N21" s="2"/>
    </row>
    <row r="22" spans="1:14">
      <c r="A22" s="58" t="s">
        <v>31</v>
      </c>
      <c r="B22" s="52"/>
      <c r="C22" s="59"/>
      <c r="D22" s="2"/>
      <c r="E22" s="2"/>
      <c r="F22" s="2"/>
      <c r="G22" s="2"/>
      <c r="H22" s="2"/>
      <c r="I22" s="2"/>
      <c r="J22" s="2"/>
      <c r="K22" s="2"/>
      <c r="L22" s="2"/>
      <c r="M22" s="2"/>
      <c r="N22" s="2"/>
    </row>
    <row r="23" spans="1:14">
      <c r="A23" s="2"/>
      <c r="B23" s="2"/>
      <c r="C23" s="2"/>
      <c r="D23" s="2"/>
      <c r="E23" s="2"/>
      <c r="F23" s="2"/>
      <c r="G23" s="2"/>
      <c r="H23" s="2"/>
      <c r="I23" s="2"/>
      <c r="J23" s="2"/>
      <c r="K23" s="2"/>
      <c r="L23" s="2"/>
      <c r="M23" s="2"/>
      <c r="N23" s="2"/>
    </row>
    <row r="24" spans="1:14" ht="18">
      <c r="A24" s="73" t="s">
        <v>11</v>
      </c>
      <c r="B24" s="72" t="s">
        <v>12</v>
      </c>
      <c r="C24" s="72" t="s">
        <v>13</v>
      </c>
      <c r="D24" s="72" t="s">
        <v>14</v>
      </c>
      <c r="E24" s="6"/>
      <c r="F24" s="2"/>
      <c r="G24" s="2"/>
      <c r="H24" s="2"/>
      <c r="I24" s="2"/>
      <c r="J24" s="2"/>
      <c r="K24" s="2"/>
      <c r="L24" s="2"/>
      <c r="M24" s="2"/>
      <c r="N24" s="2"/>
    </row>
    <row r="25" spans="1:14">
      <c r="A25" s="55" t="s">
        <v>32</v>
      </c>
      <c r="B25" s="116">
        <f>'Mass Estimation'!B12</f>
        <v>0.55686839577329494</v>
      </c>
      <c r="C25" s="116">
        <f>C19+B3*F5</f>
        <v>20.506884584521625</v>
      </c>
      <c r="D25" s="122">
        <f>B25*C25</f>
        <v>11.41963592089067</v>
      </c>
      <c r="E25" s="6"/>
      <c r="F25" s="2"/>
      <c r="G25" s="2"/>
      <c r="H25" s="2"/>
      <c r="I25" s="2"/>
      <c r="J25" s="2"/>
      <c r="K25" s="2"/>
      <c r="L25" s="2"/>
      <c r="M25" s="2"/>
      <c r="N25" s="2"/>
    </row>
    <row r="26" spans="1:14">
      <c r="A26" s="55" t="s">
        <v>33</v>
      </c>
      <c r="B26" s="116">
        <f>'Mass Estimation'!B24</f>
        <v>0.28734390009606148</v>
      </c>
      <c r="C26" s="62">
        <v>19.89</v>
      </c>
      <c r="D26" s="116">
        <f t="shared" ref="D26" si="1">B26*C26</f>
        <v>5.715270172910663</v>
      </c>
      <c r="E26" s="6"/>
      <c r="F26" s="2"/>
      <c r="G26" s="2"/>
      <c r="H26" s="2"/>
      <c r="I26" s="2"/>
      <c r="J26" s="2"/>
      <c r="K26" s="2"/>
      <c r="L26" s="2"/>
      <c r="M26" s="2"/>
      <c r="N26" s="2"/>
    </row>
    <row r="27" spans="1:14" ht="15.75" thickBot="1">
      <c r="A27" s="66" t="s">
        <v>35</v>
      </c>
      <c r="B27" s="117">
        <f>'Mass Estimation'!B5</f>
        <v>0.15578770413064361</v>
      </c>
      <c r="C27" s="117">
        <f>C19+F5/8</f>
        <v>20.420953712038404</v>
      </c>
      <c r="D27" s="116">
        <f t="shared" ref="D27" si="2">B27*C27</f>
        <v>3.1813334949566072</v>
      </c>
      <c r="E27" s="6"/>
      <c r="F27" s="2"/>
      <c r="G27" s="2"/>
      <c r="H27" s="2"/>
      <c r="I27" s="2"/>
      <c r="J27" s="2"/>
      <c r="K27" s="2"/>
      <c r="L27" s="2"/>
      <c r="M27" s="2"/>
      <c r="N27" s="2"/>
    </row>
    <row r="28" spans="1:14">
      <c r="A28" s="55" t="s">
        <v>37</v>
      </c>
      <c r="B28" s="123">
        <f>B25+B26</f>
        <v>0.84421229586935642</v>
      </c>
      <c r="C28" s="125">
        <f>((D25+D26)/(B28))</f>
        <v>20.296916045455223</v>
      </c>
      <c r="D28" s="67"/>
      <c r="E28" s="6"/>
      <c r="F28" s="2"/>
      <c r="G28" s="2"/>
      <c r="H28" s="2"/>
      <c r="I28" s="2"/>
      <c r="J28" s="2"/>
      <c r="K28" s="2"/>
      <c r="L28" s="2"/>
      <c r="M28" s="2"/>
      <c r="N28" s="2"/>
    </row>
    <row r="29" spans="1:14">
      <c r="A29" s="55" t="s">
        <v>38</v>
      </c>
      <c r="B29" s="123">
        <f>B25+B26+B27</f>
        <v>1</v>
      </c>
      <c r="C29" s="116">
        <f>((D25+D26+D27)/(B29))</f>
        <v>20.316239588757941</v>
      </c>
      <c r="D29" s="63"/>
      <c r="E29" s="6"/>
      <c r="F29" s="2"/>
      <c r="G29" s="2"/>
      <c r="H29" s="2"/>
      <c r="I29" s="2"/>
      <c r="J29" s="2"/>
      <c r="K29" s="2"/>
      <c r="L29" s="2"/>
      <c r="M29" s="2"/>
      <c r="N29" s="2"/>
    </row>
    <row r="30" spans="1:14">
      <c r="A30" s="60" t="s">
        <v>39</v>
      </c>
      <c r="B30" s="124">
        <f>B25+B27</f>
        <v>0.71265609990393852</v>
      </c>
      <c r="C30" s="116">
        <f>((D25+D27)/(B30))</f>
        <v>20.488099965488818</v>
      </c>
      <c r="D30" s="64"/>
      <c r="E30" s="6"/>
      <c r="F30" s="2"/>
      <c r="G30" s="2"/>
      <c r="H30" s="2"/>
      <c r="I30" s="2"/>
      <c r="J30" s="2"/>
      <c r="K30" s="2"/>
      <c r="L30" s="2"/>
      <c r="M30" s="2"/>
      <c r="N30" s="2"/>
    </row>
    <row r="31" spans="1:14">
      <c r="A31" s="6"/>
      <c r="B31" s="6"/>
      <c r="C31" s="6"/>
      <c r="D31" s="6"/>
      <c r="E31" s="6"/>
      <c r="F31" s="2"/>
      <c r="G31" s="2"/>
      <c r="H31" s="2"/>
      <c r="I31" s="2"/>
      <c r="J31" s="2"/>
      <c r="K31" s="2"/>
      <c r="L31" s="2"/>
      <c r="M31" s="2"/>
      <c r="N31" s="2"/>
    </row>
    <row r="32" spans="1:14">
      <c r="A32" s="6"/>
      <c r="B32" s="6"/>
      <c r="C32" s="13" t="s">
        <v>1</v>
      </c>
      <c r="D32" s="6"/>
      <c r="E32" s="6"/>
      <c r="F32" s="2"/>
      <c r="G32" s="2"/>
      <c r="H32" s="2"/>
      <c r="I32" s="2"/>
      <c r="J32" s="2"/>
      <c r="K32" s="2"/>
      <c r="L32" s="2"/>
      <c r="M32" s="2"/>
      <c r="N32" s="2"/>
    </row>
    <row r="33" spans="1:14">
      <c r="A33" s="55" t="s">
        <v>41</v>
      </c>
      <c r="B33" s="121">
        <f>MIN(C28:C30)</f>
        <v>20.296916045455223</v>
      </c>
      <c r="C33" s="6" t="s">
        <v>5</v>
      </c>
      <c r="D33" s="6"/>
      <c r="E33" s="6"/>
      <c r="F33" s="2"/>
      <c r="G33" s="2"/>
      <c r="H33" s="2"/>
      <c r="I33" s="2"/>
      <c r="J33" s="2"/>
      <c r="K33" s="2"/>
      <c r="L33" s="2"/>
      <c r="M33" s="2"/>
      <c r="N33" s="2"/>
    </row>
    <row r="34" spans="1:14">
      <c r="A34" s="55" t="s">
        <v>42</v>
      </c>
      <c r="B34" s="121">
        <f>MAX(C28:C30)</f>
        <v>20.488099965488818</v>
      </c>
      <c r="C34" s="6" t="s">
        <v>5</v>
      </c>
      <c r="D34" s="6"/>
      <c r="E34" s="6"/>
      <c r="F34" s="2"/>
      <c r="G34" s="2"/>
      <c r="H34" s="2"/>
      <c r="I34" s="2"/>
      <c r="J34" s="2"/>
      <c r="K34" s="2"/>
      <c r="L34" s="2"/>
      <c r="M34" s="2"/>
      <c r="N34" s="2"/>
    </row>
    <row r="35" spans="1:14">
      <c r="A35" s="6"/>
      <c r="B35" s="6"/>
      <c r="C35" s="6"/>
      <c r="D35" s="6"/>
      <c r="E35" s="6"/>
      <c r="F35" s="2"/>
      <c r="G35" s="2"/>
      <c r="H35" s="2"/>
      <c r="I35" s="2"/>
      <c r="J35" s="2"/>
      <c r="K35" s="2"/>
      <c r="L35" s="2"/>
      <c r="M35" s="2"/>
      <c r="N35" s="2"/>
    </row>
    <row r="36" spans="1:14">
      <c r="A36" s="57" t="s">
        <v>43</v>
      </c>
      <c r="B36" s="2"/>
      <c r="C36" s="2"/>
      <c r="D36" s="2"/>
      <c r="E36" s="2"/>
      <c r="F36" s="2"/>
      <c r="G36" s="2"/>
      <c r="H36" s="2"/>
      <c r="I36" s="2"/>
      <c r="J36" s="2"/>
      <c r="K36" s="2"/>
      <c r="L36" s="2"/>
      <c r="M36" s="2"/>
      <c r="N36" s="2"/>
    </row>
    <row r="37" spans="1:14">
      <c r="A37" s="2"/>
      <c r="B37" s="2"/>
      <c r="C37" s="2"/>
      <c r="D37" s="2"/>
      <c r="E37" s="2"/>
      <c r="F37" s="2"/>
      <c r="G37" s="2"/>
      <c r="H37" s="2"/>
      <c r="I37" s="2"/>
      <c r="J37" s="2"/>
      <c r="K37" s="2"/>
      <c r="L37" s="2"/>
      <c r="M37" s="2"/>
      <c r="N37" s="2"/>
    </row>
    <row r="38" spans="1:14">
      <c r="A38" s="7" t="s">
        <v>44</v>
      </c>
      <c r="B38" s="2"/>
      <c r="C38" s="2"/>
      <c r="D38" s="2"/>
      <c r="E38" s="2"/>
      <c r="F38" s="2"/>
      <c r="G38" s="2"/>
      <c r="H38" s="2"/>
      <c r="I38" s="2"/>
      <c r="J38" s="2"/>
      <c r="K38" s="2"/>
      <c r="L38" s="2"/>
      <c r="M38" s="2"/>
      <c r="N38" s="2"/>
    </row>
    <row r="39" spans="1:14">
      <c r="A39" s="37" t="s">
        <v>45</v>
      </c>
      <c r="B39" s="2"/>
      <c r="C39" s="2"/>
      <c r="D39" s="2"/>
      <c r="E39" s="2"/>
      <c r="F39" s="2"/>
      <c r="G39" s="2"/>
      <c r="H39" s="2"/>
      <c r="I39" s="2"/>
      <c r="J39" s="2"/>
      <c r="K39" s="2"/>
      <c r="L39" s="2"/>
      <c r="M39" s="2"/>
      <c r="N39" s="2"/>
    </row>
    <row r="40" spans="1:14">
      <c r="A40" s="37" t="s">
        <v>46</v>
      </c>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7" t="s">
        <v>47</v>
      </c>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sheetData>
  <sheetProtection algorithmName="SHA-512" hashValue="Vp2u+Lh6jqGDQUGtBEEqLjLbvQpr3Jzod0GvvUDy3M8sEmqS5GF30f92wfG8cbtNm5LaGnEERBeKHS//7HFX9A==" saltValue="ZQr9sb5RTxmJMwJa9n0Pbw==" spinCount="100000" sheet="1" scenarios="1" formatCells="0"/>
  <mergeCells count="2">
    <mergeCell ref="B8:D8"/>
    <mergeCell ref="E8:G8"/>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951C-AAFB-40D4-87BC-671CF3964740}">
  <dimension ref="A1:F47"/>
  <sheetViews>
    <sheetView zoomScale="86" zoomScaleNormal="160" workbookViewId="0">
      <selection activeCell="N29" sqref="N29"/>
    </sheetView>
  </sheetViews>
  <sheetFormatPr defaultRowHeight="15"/>
  <cols>
    <col min="1" max="1" width="48.5703125" customWidth="1"/>
  </cols>
  <sheetData>
    <row r="1" spans="1:6">
      <c r="A1" s="7" t="s">
        <v>927</v>
      </c>
      <c r="B1" s="2"/>
      <c r="C1" s="2"/>
      <c r="D1" s="2"/>
      <c r="E1" s="2"/>
      <c r="F1" s="2"/>
    </row>
    <row r="2" spans="1:6">
      <c r="A2" s="2" t="s">
        <v>928</v>
      </c>
      <c r="B2" s="2"/>
      <c r="C2" s="2"/>
      <c r="D2" s="11">
        <f>('Mass Estimation'!B15*9.81)/120000</f>
        <v>3.4040700000000004</v>
      </c>
      <c r="E2" s="2" t="s">
        <v>331</v>
      </c>
      <c r="F2" s="2"/>
    </row>
    <row r="3" spans="1:6">
      <c r="A3" s="2" t="s">
        <v>929</v>
      </c>
      <c r="B3" s="2"/>
      <c r="C3" s="2"/>
      <c r="D3" s="1">
        <v>2</v>
      </c>
      <c r="E3" s="2" t="s">
        <v>331</v>
      </c>
      <c r="F3" s="2"/>
    </row>
    <row r="4" spans="1:6">
      <c r="A4" s="2" t="s">
        <v>930</v>
      </c>
      <c r="B4" s="2"/>
      <c r="C4" s="2"/>
      <c r="D4" s="15">
        <v>62</v>
      </c>
      <c r="E4" s="2"/>
      <c r="F4" s="2"/>
    </row>
    <row r="5" spans="1:6">
      <c r="A5" s="6" t="s">
        <v>931</v>
      </c>
      <c r="B5" s="2"/>
      <c r="C5" s="2"/>
      <c r="D5" s="14"/>
      <c r="E5" s="2" t="s">
        <v>932</v>
      </c>
      <c r="F5" s="2"/>
    </row>
    <row r="6" spans="1:6">
      <c r="A6" s="6" t="s">
        <v>933</v>
      </c>
      <c r="B6" s="2"/>
      <c r="C6" s="2"/>
      <c r="D6" s="14"/>
      <c r="E6" s="2" t="s">
        <v>382</v>
      </c>
      <c r="F6" s="2"/>
    </row>
    <row r="7" spans="1:6">
      <c r="A7" s="6" t="s">
        <v>933</v>
      </c>
      <c r="B7" s="2"/>
      <c r="C7" s="2"/>
      <c r="D7" s="14"/>
      <c r="E7" s="2" t="s">
        <v>382</v>
      </c>
      <c r="F7" s="2"/>
    </row>
    <row r="8" spans="1:6">
      <c r="A8" s="6" t="s">
        <v>934</v>
      </c>
      <c r="B8" s="2"/>
      <c r="C8" s="2"/>
      <c r="D8" s="78"/>
      <c r="E8" s="2"/>
      <c r="F8" s="2"/>
    </row>
    <row r="9" spans="1:6">
      <c r="A9" s="6" t="s">
        <v>935</v>
      </c>
      <c r="B9" s="2"/>
      <c r="C9" s="2"/>
      <c r="D9" s="39"/>
      <c r="E9" s="2" t="s">
        <v>331</v>
      </c>
      <c r="F9" s="2"/>
    </row>
    <row r="10" spans="1:6">
      <c r="A10" s="6" t="s">
        <v>936</v>
      </c>
      <c r="B10" s="2"/>
      <c r="C10" s="2"/>
      <c r="D10" s="14"/>
      <c r="E10" s="2" t="s">
        <v>5</v>
      </c>
      <c r="F10" s="2"/>
    </row>
    <row r="11" spans="1:6">
      <c r="A11" s="6" t="s">
        <v>937</v>
      </c>
      <c r="B11" s="2"/>
      <c r="C11" s="2"/>
      <c r="D11" s="14"/>
      <c r="E11" s="2" t="s">
        <v>5</v>
      </c>
      <c r="F11" s="2"/>
    </row>
    <row r="12" spans="1:6">
      <c r="A12" s="2"/>
      <c r="B12" s="2"/>
      <c r="C12" s="2"/>
      <c r="D12" s="2"/>
      <c r="E12" s="2"/>
      <c r="F12" s="2"/>
    </row>
    <row r="13" spans="1:6" ht="30" customHeight="1">
      <c r="A13" s="317" t="s">
        <v>938</v>
      </c>
      <c r="B13" s="317"/>
      <c r="C13" s="317"/>
      <c r="D13" s="317"/>
      <c r="E13" s="317"/>
      <c r="F13" s="2"/>
    </row>
    <row r="14" spans="1:6">
      <c r="A14" s="7"/>
      <c r="B14" s="2"/>
      <c r="C14" s="2"/>
      <c r="D14" s="2"/>
      <c r="E14" s="2"/>
      <c r="F14" s="2"/>
    </row>
    <row r="15" spans="1:6">
      <c r="A15" s="7" t="s">
        <v>939</v>
      </c>
      <c r="B15" s="2"/>
      <c r="C15" s="2"/>
      <c r="D15" s="2"/>
      <c r="E15" s="7" t="s">
        <v>1</v>
      </c>
      <c r="F15" s="2"/>
    </row>
    <row r="16" spans="1:6">
      <c r="A16" s="2" t="s">
        <v>940</v>
      </c>
      <c r="B16" s="2"/>
      <c r="C16" s="2"/>
      <c r="D16" s="1"/>
      <c r="E16" s="2" t="s">
        <v>5</v>
      </c>
      <c r="F16" s="2"/>
    </row>
    <row r="17" spans="1:6">
      <c r="A17" s="42" t="s">
        <v>941</v>
      </c>
      <c r="B17" s="2"/>
      <c r="C17" s="2"/>
      <c r="D17" s="2"/>
      <c r="E17" s="2"/>
      <c r="F17" s="2"/>
    </row>
    <row r="18" spans="1:6">
      <c r="A18" s="343" t="s">
        <v>942</v>
      </c>
      <c r="B18" s="343"/>
      <c r="C18" s="2"/>
      <c r="D18" s="2"/>
      <c r="E18" s="2"/>
      <c r="F18" s="2"/>
    </row>
    <row r="19" spans="1:6">
      <c r="A19" s="343" t="s">
        <v>943</v>
      </c>
      <c r="B19" s="343"/>
      <c r="C19" s="2"/>
      <c r="D19" s="2"/>
      <c r="E19" s="2"/>
      <c r="F19" s="2"/>
    </row>
    <row r="20" spans="1:6">
      <c r="A20" s="343" t="s">
        <v>944</v>
      </c>
      <c r="B20" s="343"/>
      <c r="C20" s="2"/>
      <c r="D20" s="2"/>
      <c r="E20" s="2"/>
      <c r="F20" s="2"/>
    </row>
    <row r="21" spans="1:6">
      <c r="A21" s="343" t="s">
        <v>945</v>
      </c>
      <c r="B21" s="343"/>
      <c r="C21" s="2"/>
      <c r="D21" s="2"/>
      <c r="E21" s="2"/>
      <c r="F21" s="2"/>
    </row>
    <row r="22" spans="1:6">
      <c r="A22" s="343" t="s">
        <v>946</v>
      </c>
      <c r="B22" s="343"/>
      <c r="C22" s="2"/>
      <c r="D22" s="2"/>
      <c r="E22" s="2"/>
      <c r="F22" s="2"/>
    </row>
    <row r="23" spans="1:6">
      <c r="A23" s="343" t="s">
        <v>947</v>
      </c>
      <c r="B23" s="343"/>
      <c r="C23" s="2"/>
      <c r="D23" s="2"/>
      <c r="E23" s="2"/>
      <c r="F23" s="2"/>
    </row>
    <row r="24" spans="1:6">
      <c r="A24" s="24"/>
      <c r="B24" s="24"/>
      <c r="C24" s="2"/>
      <c r="D24" s="2"/>
      <c r="E24" s="2"/>
      <c r="F24" s="2"/>
    </row>
    <row r="25" spans="1:6">
      <c r="A25" s="2" t="s">
        <v>948</v>
      </c>
      <c r="B25" s="2"/>
      <c r="C25" s="2"/>
      <c r="D25" s="1"/>
      <c r="E25" s="2" t="s">
        <v>331</v>
      </c>
      <c r="F25" s="2"/>
    </row>
    <row r="26" spans="1:6" ht="30" customHeight="1">
      <c r="A26" s="320" t="s">
        <v>949</v>
      </c>
      <c r="B26" s="320"/>
      <c r="C26" s="320"/>
      <c r="D26" s="2"/>
      <c r="E26" s="2"/>
      <c r="F26" s="2"/>
    </row>
    <row r="27" spans="1:6">
      <c r="A27" s="2"/>
      <c r="B27" s="2"/>
      <c r="C27" s="2"/>
      <c r="D27" s="2"/>
      <c r="E27" s="2"/>
      <c r="F27" s="2"/>
    </row>
    <row r="28" spans="1:6" ht="30" customHeight="1">
      <c r="A28" s="317" t="s">
        <v>938</v>
      </c>
      <c r="B28" s="317"/>
      <c r="C28" s="317"/>
      <c r="D28" s="317"/>
      <c r="E28" s="317"/>
      <c r="F28" s="2"/>
    </row>
    <row r="29" spans="1:6">
      <c r="A29" s="4"/>
      <c r="B29" s="4"/>
      <c r="C29" s="4"/>
      <c r="D29" s="4"/>
      <c r="E29" s="4"/>
      <c r="F29" s="2"/>
    </row>
    <row r="30" spans="1:6">
      <c r="A30" s="7" t="s">
        <v>950</v>
      </c>
      <c r="B30" s="2"/>
      <c r="C30" s="2"/>
      <c r="D30" s="2"/>
      <c r="E30" s="2"/>
      <c r="F30" s="2"/>
    </row>
    <row r="31" spans="1:6">
      <c r="A31" s="343" t="s">
        <v>951</v>
      </c>
      <c r="B31" s="343"/>
      <c r="C31" s="343"/>
      <c r="D31" s="2"/>
      <c r="E31" s="2"/>
      <c r="F31" s="2"/>
    </row>
    <row r="32" spans="1:6">
      <c r="A32" s="344" t="s">
        <v>952</v>
      </c>
      <c r="B32" s="344"/>
      <c r="C32" s="344"/>
      <c r="D32" s="2"/>
      <c r="E32" s="2"/>
      <c r="F32" s="2"/>
    </row>
    <row r="33" spans="1:6">
      <c r="A33" s="2" t="s">
        <v>953</v>
      </c>
      <c r="B33" s="2"/>
      <c r="C33" s="2"/>
      <c r="D33" s="1"/>
      <c r="E33" s="2" t="s">
        <v>5</v>
      </c>
      <c r="F33" s="2"/>
    </row>
    <row r="34" spans="1:6">
      <c r="A34" s="343" t="s">
        <v>954</v>
      </c>
      <c r="B34" s="343"/>
      <c r="C34" s="343"/>
      <c r="D34" s="2"/>
      <c r="E34" s="2"/>
      <c r="F34" s="2"/>
    </row>
    <row r="35" spans="1:6">
      <c r="A35" s="343" t="s">
        <v>955</v>
      </c>
      <c r="B35" s="343"/>
      <c r="C35" s="343"/>
      <c r="D35" s="2"/>
      <c r="E35" s="2"/>
      <c r="F35" s="2"/>
    </row>
    <row r="36" spans="1:6">
      <c r="A36" s="24"/>
      <c r="B36" s="24"/>
      <c r="C36" s="24"/>
      <c r="D36" s="2"/>
      <c r="E36" s="2"/>
      <c r="F36" s="2"/>
    </row>
    <row r="37" spans="1:6">
      <c r="A37" s="319" t="s">
        <v>948</v>
      </c>
      <c r="B37" s="319"/>
      <c r="C37" s="2"/>
      <c r="D37" s="1"/>
      <c r="E37" s="2" t="s">
        <v>331</v>
      </c>
      <c r="F37" s="2"/>
    </row>
    <row r="38" spans="1:6" ht="30" customHeight="1">
      <c r="A38" s="342" t="s">
        <v>949</v>
      </c>
      <c r="B38" s="342"/>
      <c r="C38" s="342"/>
      <c r="D38" s="2"/>
      <c r="E38" s="2"/>
      <c r="F38" s="2"/>
    </row>
    <row r="39" spans="1:6" ht="30" customHeight="1">
      <c r="A39" s="77"/>
      <c r="B39" s="77"/>
      <c r="C39" s="77"/>
      <c r="D39" s="2"/>
      <c r="E39" s="2"/>
      <c r="F39" s="2"/>
    </row>
    <row r="40" spans="1:6" ht="30" customHeight="1">
      <c r="A40" s="342" t="s">
        <v>956</v>
      </c>
      <c r="B40" s="342"/>
      <c r="C40" s="342"/>
      <c r="D40" s="2"/>
      <c r="E40" s="2"/>
      <c r="F40" s="2"/>
    </row>
    <row r="41" spans="1:6">
      <c r="A41" s="342" t="s">
        <v>957</v>
      </c>
      <c r="B41" s="342"/>
      <c r="C41" s="342"/>
      <c r="D41" s="2"/>
      <c r="E41" s="2"/>
      <c r="F41" s="2"/>
    </row>
    <row r="42" spans="1:6">
      <c r="A42" s="2"/>
      <c r="B42" s="2"/>
      <c r="C42" s="2"/>
      <c r="D42" s="2"/>
      <c r="E42" s="2"/>
      <c r="F42" s="2"/>
    </row>
    <row r="43" spans="1:6">
      <c r="A43" s="7" t="s">
        <v>958</v>
      </c>
      <c r="B43" s="2"/>
      <c r="C43" s="2"/>
      <c r="D43" s="2"/>
      <c r="E43" s="2"/>
      <c r="F43" s="2"/>
    </row>
    <row r="44" spans="1:6">
      <c r="A44" s="2"/>
      <c r="B44" s="2"/>
      <c r="C44" s="2"/>
      <c r="D44" s="2"/>
      <c r="E44" s="2"/>
      <c r="F44" s="2"/>
    </row>
    <row r="45" spans="1:6">
      <c r="A45" s="7" t="s">
        <v>47</v>
      </c>
      <c r="B45" s="2"/>
      <c r="C45" s="2"/>
      <c r="D45" s="2"/>
      <c r="E45" s="2"/>
      <c r="F45" s="2"/>
    </row>
    <row r="46" spans="1:6">
      <c r="A46" s="2"/>
      <c r="B46" s="2"/>
      <c r="C46" s="2"/>
      <c r="D46" s="2"/>
      <c r="E46" s="2"/>
      <c r="F46" s="2"/>
    </row>
    <row r="47" spans="1:6">
      <c r="A47" s="2"/>
      <c r="B47" s="2"/>
      <c r="C47" s="2"/>
      <c r="D47" s="2"/>
      <c r="E47" s="2"/>
      <c r="F47" s="2"/>
    </row>
  </sheetData>
  <sheetProtection algorithmName="SHA-512" hashValue="DTEFbU7u0Ho++EM/YNUXu9ZQOI7PW5JkWzAhk8J8CoLhfFCcrpuDZmwmPfd1G9kx4JNdO0VfFEYrkO1CgZ7kBQ==" saltValue="KDY4vzktrA+2TnT6bpvCvA==" spinCount="100000" sheet="1" objects="1" scenarios="1" formatCells="0"/>
  <mergeCells count="17">
    <mergeCell ref="A13:E13"/>
    <mergeCell ref="A28:E28"/>
    <mergeCell ref="A26:C26"/>
    <mergeCell ref="A31:C31"/>
    <mergeCell ref="A32:C32"/>
    <mergeCell ref="A18:B18"/>
    <mergeCell ref="A19:B19"/>
    <mergeCell ref="A20:B20"/>
    <mergeCell ref="A21:B21"/>
    <mergeCell ref="A22:B22"/>
    <mergeCell ref="A23:B23"/>
    <mergeCell ref="A37:B37"/>
    <mergeCell ref="A38:C38"/>
    <mergeCell ref="A40:C40"/>
    <mergeCell ref="A41:C41"/>
    <mergeCell ref="A34:C34"/>
    <mergeCell ref="A35:C35"/>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22FB-1EEF-4FB3-B441-94444405A769}">
  <dimension ref="A1:F47"/>
  <sheetViews>
    <sheetView zoomScale="130" zoomScaleNormal="130" workbookViewId="0">
      <selection activeCell="U47" sqref="U47"/>
    </sheetView>
  </sheetViews>
  <sheetFormatPr defaultRowHeight="15"/>
  <cols>
    <col min="1" max="1" width="48.5703125" customWidth="1"/>
  </cols>
  <sheetData>
    <row r="1" spans="1:6">
      <c r="A1" s="7" t="s">
        <v>927</v>
      </c>
      <c r="B1" s="2"/>
      <c r="C1" s="2"/>
      <c r="D1" s="2"/>
      <c r="E1" s="2"/>
      <c r="F1" s="2"/>
    </row>
    <row r="2" spans="1:6">
      <c r="A2" s="2" t="s">
        <v>928</v>
      </c>
      <c r="B2" s="2"/>
      <c r="C2" s="2"/>
      <c r="D2" s="11">
        <f>('Mass Estimation'!B15*9.81)/120000</f>
        <v>3.4040700000000004</v>
      </c>
      <c r="E2" s="2" t="s">
        <v>331</v>
      </c>
      <c r="F2" s="2"/>
    </row>
    <row r="3" spans="1:6">
      <c r="A3" s="2" t="s">
        <v>929</v>
      </c>
      <c r="B3" s="2"/>
      <c r="C3" s="2"/>
      <c r="D3" s="1">
        <v>2</v>
      </c>
      <c r="E3" s="2" t="s">
        <v>331</v>
      </c>
      <c r="F3" s="2"/>
    </row>
    <row r="4" spans="1:6">
      <c r="A4" s="2" t="s">
        <v>930</v>
      </c>
      <c r="B4" s="2"/>
      <c r="C4" s="2"/>
      <c r="D4" s="15">
        <v>62</v>
      </c>
      <c r="E4" s="2"/>
      <c r="F4" s="2"/>
    </row>
    <row r="5" spans="1:6">
      <c r="A5" s="6" t="s">
        <v>931</v>
      </c>
      <c r="B5" s="2"/>
      <c r="C5" s="2"/>
      <c r="D5" s="112">
        <f>430*LN(D4)-680</f>
        <v>1094.6677855693895</v>
      </c>
      <c r="E5" s="2" t="s">
        <v>932</v>
      </c>
      <c r="F5" s="2"/>
    </row>
    <row r="6" spans="1:6">
      <c r="A6" s="6" t="s">
        <v>933</v>
      </c>
      <c r="B6" s="2"/>
      <c r="C6" s="2"/>
      <c r="D6" s="112">
        <f>0.92*'Mass Estimation'!B15/D2</f>
        <v>11253.822629969418</v>
      </c>
      <c r="E6" s="2" t="s">
        <v>382</v>
      </c>
      <c r="F6" s="2"/>
    </row>
    <row r="7" spans="1:6">
      <c r="A7" s="6" t="s">
        <v>933</v>
      </c>
      <c r="B7" s="2"/>
      <c r="C7" s="2"/>
      <c r="D7" s="112">
        <f>0.08*'Mass Estimation'!B15/2</f>
        <v>1665.6000000000001</v>
      </c>
      <c r="E7" s="2" t="s">
        <v>382</v>
      </c>
      <c r="F7" s="2"/>
    </row>
    <row r="8" spans="1:6">
      <c r="A8" s="6" t="s">
        <v>934</v>
      </c>
      <c r="B8" s="2"/>
      <c r="C8" s="2"/>
      <c r="D8" s="78"/>
      <c r="E8" s="2"/>
      <c r="F8" s="2"/>
    </row>
    <row r="9" spans="1:6">
      <c r="A9" s="6" t="s">
        <v>935</v>
      </c>
      <c r="B9" s="2"/>
      <c r="C9" s="2"/>
      <c r="D9" s="39" t="s">
        <v>959</v>
      </c>
      <c r="E9" s="2" t="s">
        <v>331</v>
      </c>
      <c r="F9" s="2"/>
    </row>
    <row r="10" spans="1:6">
      <c r="A10" s="6" t="s">
        <v>936</v>
      </c>
      <c r="B10" s="2"/>
      <c r="C10" s="2"/>
      <c r="D10" s="114">
        <f>40*0.0254</f>
        <v>1.016</v>
      </c>
      <c r="E10" s="2" t="s">
        <v>5</v>
      </c>
      <c r="F10" s="2"/>
    </row>
    <row r="11" spans="1:6">
      <c r="A11" s="6" t="s">
        <v>937</v>
      </c>
      <c r="B11" s="2"/>
      <c r="C11" s="2"/>
      <c r="D11" s="126">
        <f>14*0.0254</f>
        <v>0.35559999999999997</v>
      </c>
      <c r="E11" s="2" t="s">
        <v>5</v>
      </c>
      <c r="F11" s="2"/>
    </row>
    <row r="12" spans="1:6">
      <c r="A12" s="2"/>
      <c r="B12" s="2"/>
      <c r="C12" s="2"/>
      <c r="D12" s="2"/>
      <c r="E12" s="2"/>
      <c r="F12" s="2"/>
    </row>
    <row r="13" spans="1:6" ht="30" customHeight="1">
      <c r="A13" s="317" t="s">
        <v>938</v>
      </c>
      <c r="B13" s="317"/>
      <c r="C13" s="317"/>
      <c r="D13" s="317"/>
      <c r="E13" s="317"/>
      <c r="F13" s="2"/>
    </row>
    <row r="14" spans="1:6">
      <c r="A14" s="7"/>
      <c r="B14" s="2"/>
      <c r="C14" s="2"/>
      <c r="D14" s="2"/>
      <c r="E14" s="2"/>
      <c r="F14" s="2"/>
    </row>
    <row r="15" spans="1:6">
      <c r="A15" s="7" t="s">
        <v>939</v>
      </c>
      <c r="B15" s="2"/>
      <c r="C15" s="2"/>
      <c r="D15" s="2"/>
      <c r="E15" s="7" t="s">
        <v>1</v>
      </c>
      <c r="F15" s="2"/>
    </row>
    <row r="16" spans="1:6">
      <c r="A16" s="2" t="s">
        <v>940</v>
      </c>
      <c r="B16" s="2"/>
      <c r="C16" s="2"/>
      <c r="D16" s="1">
        <v>0.28000000000000003</v>
      </c>
      <c r="E16" s="2" t="s">
        <v>5</v>
      </c>
      <c r="F16" s="2"/>
    </row>
    <row r="17" spans="1:6">
      <c r="A17" s="42" t="s">
        <v>941</v>
      </c>
      <c r="B17" s="2"/>
      <c r="C17" s="2"/>
      <c r="D17" s="2"/>
      <c r="E17" s="2"/>
      <c r="F17" s="2"/>
    </row>
    <row r="18" spans="1:6">
      <c r="A18" s="343" t="s">
        <v>942</v>
      </c>
      <c r="B18" s="343"/>
      <c r="C18" s="2"/>
      <c r="D18" s="2"/>
      <c r="E18" s="2"/>
      <c r="F18" s="2"/>
    </row>
    <row r="19" spans="1:6">
      <c r="A19" s="343" t="s">
        <v>943</v>
      </c>
      <c r="B19" s="343"/>
      <c r="C19" s="2"/>
      <c r="D19" s="2"/>
      <c r="E19" s="2"/>
      <c r="F19" s="2"/>
    </row>
    <row r="20" spans="1:6">
      <c r="A20" s="343" t="s">
        <v>944</v>
      </c>
      <c r="B20" s="343"/>
      <c r="C20" s="2"/>
      <c r="D20" s="2"/>
      <c r="E20" s="2"/>
      <c r="F20" s="2"/>
    </row>
    <row r="21" spans="1:6">
      <c r="A21" s="343" t="s">
        <v>945</v>
      </c>
      <c r="B21" s="343"/>
      <c r="C21" s="2"/>
      <c r="D21" s="2"/>
      <c r="E21" s="2"/>
      <c r="F21" s="2"/>
    </row>
    <row r="22" spans="1:6">
      <c r="A22" s="343" t="s">
        <v>946</v>
      </c>
      <c r="B22" s="343"/>
      <c r="C22" s="2"/>
      <c r="D22" s="2"/>
      <c r="E22" s="2"/>
      <c r="F22" s="2"/>
    </row>
    <row r="23" spans="1:6">
      <c r="A23" s="343" t="s">
        <v>947</v>
      </c>
      <c r="B23" s="343"/>
      <c r="C23" s="2"/>
      <c r="D23" s="2"/>
      <c r="E23" s="2"/>
      <c r="F23" s="2"/>
    </row>
    <row r="24" spans="1:6">
      <c r="A24" s="24"/>
      <c r="B24" s="24"/>
      <c r="C24" s="2"/>
      <c r="D24" s="2"/>
      <c r="E24" s="2"/>
      <c r="F24" s="2"/>
    </row>
    <row r="25" spans="1:6">
      <c r="A25" s="2" t="s">
        <v>948</v>
      </c>
      <c r="B25" s="2"/>
      <c r="C25" s="2"/>
      <c r="D25" s="1" t="s">
        <v>875</v>
      </c>
      <c r="E25" s="2" t="s">
        <v>331</v>
      </c>
      <c r="F25" s="2"/>
    </row>
    <row r="26" spans="1:6" ht="30" customHeight="1">
      <c r="A26" s="320" t="s">
        <v>949</v>
      </c>
      <c r="B26" s="320"/>
      <c r="C26" s="320"/>
      <c r="D26" s="2"/>
      <c r="E26" s="2"/>
      <c r="F26" s="2"/>
    </row>
    <row r="27" spans="1:6">
      <c r="A27" s="2"/>
      <c r="B27" s="2"/>
      <c r="C27" s="2"/>
      <c r="D27" s="2"/>
      <c r="E27" s="2"/>
      <c r="F27" s="2"/>
    </row>
    <row r="28" spans="1:6" ht="30" customHeight="1">
      <c r="A28" s="317" t="s">
        <v>938</v>
      </c>
      <c r="B28" s="317"/>
      <c r="C28" s="317"/>
      <c r="D28" s="317"/>
      <c r="E28" s="317"/>
      <c r="F28" s="2"/>
    </row>
    <row r="29" spans="1:6">
      <c r="A29" s="4"/>
      <c r="B29" s="4"/>
      <c r="C29" s="4"/>
      <c r="D29" s="4"/>
      <c r="E29" s="4"/>
      <c r="F29" s="2"/>
    </row>
    <row r="30" spans="1:6">
      <c r="A30" s="7" t="s">
        <v>950</v>
      </c>
      <c r="B30" s="2"/>
      <c r="C30" s="2"/>
      <c r="D30" s="2"/>
      <c r="E30" s="2"/>
      <c r="F30" s="2"/>
    </row>
    <row r="31" spans="1:6">
      <c r="A31" s="343" t="s">
        <v>951</v>
      </c>
      <c r="B31" s="343"/>
      <c r="C31" s="343"/>
      <c r="D31" s="2"/>
      <c r="E31" s="2"/>
      <c r="F31" s="2"/>
    </row>
    <row r="32" spans="1:6">
      <c r="A32" s="344" t="s">
        <v>952</v>
      </c>
      <c r="B32" s="344"/>
      <c r="C32" s="344"/>
      <c r="D32" s="2"/>
      <c r="E32" s="2"/>
      <c r="F32" s="2"/>
    </row>
    <row r="33" spans="1:6">
      <c r="A33" s="2" t="s">
        <v>953</v>
      </c>
      <c r="B33" s="2"/>
      <c r="C33" s="2"/>
      <c r="D33" s="1">
        <v>3.31</v>
      </c>
      <c r="E33" s="2" t="s">
        <v>5</v>
      </c>
      <c r="F33" s="2"/>
    </row>
    <row r="34" spans="1:6">
      <c r="A34" s="343" t="s">
        <v>954</v>
      </c>
      <c r="B34" s="343"/>
      <c r="C34" s="343"/>
      <c r="D34" s="2"/>
      <c r="E34" s="2"/>
      <c r="F34" s="2"/>
    </row>
    <row r="35" spans="1:6">
      <c r="A35" s="343" t="s">
        <v>955</v>
      </c>
      <c r="B35" s="343"/>
      <c r="C35" s="343"/>
      <c r="D35" s="2"/>
      <c r="E35" s="2"/>
      <c r="F35" s="2"/>
    </row>
    <row r="36" spans="1:6">
      <c r="A36" s="24"/>
      <c r="B36" s="24"/>
      <c r="C36" s="24"/>
      <c r="D36" s="2"/>
      <c r="E36" s="2"/>
      <c r="F36" s="2"/>
    </row>
    <row r="37" spans="1:6">
      <c r="A37" s="319" t="s">
        <v>948</v>
      </c>
      <c r="B37" s="319"/>
      <c r="C37" s="2"/>
      <c r="D37" s="1" t="s">
        <v>875</v>
      </c>
      <c r="E37" s="2" t="s">
        <v>331</v>
      </c>
      <c r="F37" s="2"/>
    </row>
    <row r="38" spans="1:6" ht="30" customHeight="1">
      <c r="A38" s="342" t="s">
        <v>949</v>
      </c>
      <c r="B38" s="342"/>
      <c r="C38" s="342"/>
      <c r="D38" s="2"/>
      <c r="E38" s="2"/>
      <c r="F38" s="2"/>
    </row>
    <row r="39" spans="1:6" ht="30" customHeight="1">
      <c r="A39" s="77"/>
      <c r="B39" s="77"/>
      <c r="C39" s="77"/>
      <c r="D39" s="2"/>
      <c r="E39" s="2"/>
      <c r="F39" s="2"/>
    </row>
    <row r="40" spans="1:6" ht="30" customHeight="1">
      <c r="A40" s="342" t="s">
        <v>956</v>
      </c>
      <c r="B40" s="342"/>
      <c r="C40" s="342"/>
      <c r="D40" s="2"/>
      <c r="E40" s="2"/>
      <c r="F40" s="2"/>
    </row>
    <row r="41" spans="1:6">
      <c r="A41" s="342" t="s">
        <v>957</v>
      </c>
      <c r="B41" s="342"/>
      <c r="C41" s="342"/>
      <c r="D41" s="2"/>
      <c r="E41" s="2"/>
      <c r="F41" s="2"/>
    </row>
    <row r="42" spans="1:6">
      <c r="A42" s="2"/>
      <c r="B42" s="2"/>
      <c r="C42" s="2"/>
      <c r="D42" s="2"/>
      <c r="E42" s="2"/>
      <c r="F42" s="2"/>
    </row>
    <row r="43" spans="1:6">
      <c r="A43" s="7" t="s">
        <v>958</v>
      </c>
      <c r="B43" s="2"/>
      <c r="C43" s="2"/>
      <c r="D43" s="2"/>
      <c r="E43" s="2"/>
      <c r="F43" s="2"/>
    </row>
    <row r="44" spans="1:6">
      <c r="A44" s="2"/>
      <c r="B44" s="2"/>
      <c r="C44" s="2"/>
      <c r="D44" s="2"/>
      <c r="E44" s="2"/>
      <c r="F44" s="2"/>
    </row>
    <row r="45" spans="1:6">
      <c r="A45" s="7" t="s">
        <v>47</v>
      </c>
      <c r="B45" s="2"/>
      <c r="C45" s="2"/>
      <c r="D45" s="2"/>
      <c r="E45" s="2"/>
      <c r="F45" s="2"/>
    </row>
    <row r="46" spans="1:6">
      <c r="A46" s="2"/>
      <c r="B46" s="2"/>
      <c r="C46" s="2"/>
      <c r="D46" s="2"/>
      <c r="E46" s="2"/>
      <c r="F46" s="2"/>
    </row>
    <row r="47" spans="1:6">
      <c r="A47" s="2"/>
      <c r="B47" s="2"/>
      <c r="C47" s="2"/>
      <c r="D47" s="2"/>
      <c r="E47" s="2"/>
      <c r="F47" s="2"/>
    </row>
  </sheetData>
  <mergeCells count="17">
    <mergeCell ref="A35:C35"/>
    <mergeCell ref="A37:B37"/>
    <mergeCell ref="A38:C38"/>
    <mergeCell ref="A40:C40"/>
    <mergeCell ref="A41:C41"/>
    <mergeCell ref="A34:C34"/>
    <mergeCell ref="A13:E13"/>
    <mergeCell ref="A18:B18"/>
    <mergeCell ref="A19:B19"/>
    <mergeCell ref="A20:B20"/>
    <mergeCell ref="A21:B21"/>
    <mergeCell ref="A22:B22"/>
    <mergeCell ref="A23:B23"/>
    <mergeCell ref="A26:C26"/>
    <mergeCell ref="A28:E28"/>
    <mergeCell ref="A31:C31"/>
    <mergeCell ref="A32:C3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4F55-5905-45DE-B739-360C648C3C37}">
  <dimension ref="A1:H35"/>
  <sheetViews>
    <sheetView zoomScale="175" zoomScaleNormal="175" workbookViewId="0">
      <selection activeCell="D19" sqref="D19"/>
    </sheetView>
  </sheetViews>
  <sheetFormatPr defaultRowHeight="15"/>
  <cols>
    <col min="1" max="1" width="50.42578125" customWidth="1"/>
  </cols>
  <sheetData>
    <row r="1" spans="1:8">
      <c r="A1" s="7" t="s">
        <v>51</v>
      </c>
      <c r="B1" s="2"/>
      <c r="C1" s="2"/>
      <c r="D1" s="2"/>
      <c r="E1" s="7" t="s">
        <v>1</v>
      </c>
      <c r="F1" s="2"/>
      <c r="G1" s="2"/>
    </row>
    <row r="2" spans="1:8" ht="30" customHeight="1">
      <c r="A2" s="345" t="s">
        <v>960</v>
      </c>
      <c r="B2" s="345"/>
      <c r="C2" s="345"/>
      <c r="D2" s="345"/>
      <c r="E2" s="20"/>
      <c r="F2" s="20"/>
      <c r="G2" s="20"/>
      <c r="H2" s="19"/>
    </row>
    <row r="3" spans="1:8">
      <c r="A3" s="2" t="s">
        <v>961</v>
      </c>
      <c r="B3" s="2"/>
      <c r="C3" s="2"/>
      <c r="D3" s="1">
        <v>0.3</v>
      </c>
      <c r="E3" s="2" t="s">
        <v>331</v>
      </c>
      <c r="F3" s="2"/>
      <c r="G3" s="2"/>
    </row>
    <row r="4" spans="1:8">
      <c r="A4" s="2" t="s">
        <v>962</v>
      </c>
      <c r="B4" s="2"/>
      <c r="C4" s="2"/>
      <c r="D4" s="83">
        <f>Fuselage!E61-'CG and Loading Diagram'!B34</f>
        <v>15.977900034511183</v>
      </c>
      <c r="E4" s="2" t="s">
        <v>5</v>
      </c>
      <c r="F4" s="2"/>
      <c r="G4" s="2"/>
    </row>
    <row r="5" spans="1:8">
      <c r="A5" s="2" t="s">
        <v>963</v>
      </c>
      <c r="B5" s="2"/>
      <c r="C5" s="2"/>
      <c r="D5" s="1">
        <v>1.5</v>
      </c>
      <c r="E5" s="2" t="s">
        <v>331</v>
      </c>
      <c r="F5" s="2"/>
      <c r="G5" s="2"/>
    </row>
    <row r="6" spans="1:8" ht="17.25">
      <c r="A6" s="2" t="s">
        <v>964</v>
      </c>
      <c r="B6" s="2"/>
      <c r="C6" s="2"/>
      <c r="D6" s="83">
        <f>((D5*'Matching Diagram'!D92*'CG and Loading Diagram'!F5)/(D4))</f>
        <v>24.546309992533146</v>
      </c>
      <c r="E6" s="2" t="s">
        <v>652</v>
      </c>
      <c r="F6" s="2"/>
      <c r="G6" s="2"/>
    </row>
    <row r="7" spans="1:8">
      <c r="A7" s="2" t="s">
        <v>965</v>
      </c>
      <c r="B7" s="2"/>
      <c r="C7" s="2"/>
      <c r="D7" s="1">
        <v>40</v>
      </c>
      <c r="E7" s="2" t="s">
        <v>444</v>
      </c>
      <c r="F7" s="2"/>
      <c r="G7" s="2"/>
    </row>
    <row r="8" spans="1:8">
      <c r="A8" s="2" t="s">
        <v>966</v>
      </c>
      <c r="B8" s="2"/>
      <c r="C8" s="2"/>
      <c r="D8" s="1">
        <v>4</v>
      </c>
      <c r="E8" s="2" t="s">
        <v>331</v>
      </c>
      <c r="F8" s="2"/>
      <c r="G8" s="2"/>
    </row>
    <row r="9" spans="1:8">
      <c r="A9" s="2" t="s">
        <v>967</v>
      </c>
      <c r="B9" s="2"/>
      <c r="C9" s="2"/>
      <c r="D9" s="1">
        <v>0.45</v>
      </c>
      <c r="E9" s="2" t="s">
        <v>331</v>
      </c>
      <c r="F9" s="2"/>
      <c r="G9" s="2"/>
    </row>
    <row r="10" spans="1:8">
      <c r="A10" s="2" t="s">
        <v>968</v>
      </c>
      <c r="B10" s="2"/>
      <c r="C10" s="2"/>
      <c r="D10" s="83">
        <f>SQRT(D6*D8)</f>
        <v>9.9088465509428794</v>
      </c>
      <c r="E10" s="2" t="s">
        <v>5</v>
      </c>
      <c r="F10" s="2"/>
      <c r="G10" s="2"/>
    </row>
    <row r="11" spans="1:8">
      <c r="A11" s="2" t="s">
        <v>969</v>
      </c>
      <c r="B11" s="2"/>
      <c r="C11" s="2"/>
      <c r="D11" s="83">
        <f>((2*D6)/((1+D9)*D10))</f>
        <v>3.4168436382561649</v>
      </c>
      <c r="E11" s="2" t="s">
        <v>5</v>
      </c>
      <c r="F11" s="2"/>
      <c r="G11" s="2"/>
    </row>
    <row r="12" spans="1:8">
      <c r="A12" s="2" t="s">
        <v>970</v>
      </c>
      <c r="B12" s="2"/>
      <c r="C12" s="2"/>
      <c r="D12" s="83">
        <f>D11*D9</f>
        <v>1.5375796372152741</v>
      </c>
      <c r="E12" s="2" t="s">
        <v>5</v>
      </c>
      <c r="F12" s="2"/>
      <c r="G12" s="2"/>
    </row>
    <row r="13" spans="1:8">
      <c r="A13" s="2" t="s">
        <v>971</v>
      </c>
      <c r="B13" s="2"/>
      <c r="C13" s="2"/>
      <c r="D13" s="83">
        <f>((2*D11)/(3))*((1+D9+D9^2)/(1+D9))</f>
        <v>2.5960156837785342</v>
      </c>
      <c r="E13" s="2" t="s">
        <v>5</v>
      </c>
      <c r="F13" s="2"/>
      <c r="G13" s="2"/>
    </row>
    <row r="14" spans="1:8">
      <c r="A14" s="37" t="s">
        <v>972</v>
      </c>
      <c r="B14" s="2"/>
      <c r="C14" s="2"/>
      <c r="D14" s="2"/>
      <c r="E14" s="2"/>
      <c r="F14" s="2"/>
      <c r="G14" s="2"/>
    </row>
    <row r="15" spans="1:8">
      <c r="A15" s="2"/>
      <c r="B15" s="2"/>
      <c r="C15" s="2"/>
      <c r="D15" s="2"/>
      <c r="E15" s="2"/>
      <c r="F15" s="2"/>
      <c r="G15" s="2"/>
    </row>
    <row r="16" spans="1:8">
      <c r="A16" s="7" t="s">
        <v>973</v>
      </c>
      <c r="B16" s="2"/>
      <c r="C16" s="2"/>
      <c r="D16" s="2"/>
      <c r="E16" s="2"/>
      <c r="F16" s="2"/>
      <c r="G16" s="2"/>
    </row>
    <row r="17" spans="1:8" ht="30" customHeight="1">
      <c r="A17" s="345" t="s">
        <v>960</v>
      </c>
      <c r="B17" s="345"/>
      <c r="C17" s="345"/>
      <c r="D17" s="345"/>
      <c r="E17" s="20"/>
      <c r="F17" s="20"/>
      <c r="G17" s="20"/>
      <c r="H17" s="19"/>
    </row>
    <row r="18" spans="1:8">
      <c r="A18" s="2" t="s">
        <v>974</v>
      </c>
      <c r="B18" s="2"/>
      <c r="C18" s="2"/>
      <c r="D18" s="1">
        <v>0.3</v>
      </c>
      <c r="E18" s="7" t="s">
        <v>331</v>
      </c>
      <c r="F18" s="2"/>
      <c r="G18" s="2"/>
    </row>
    <row r="19" spans="1:8">
      <c r="A19" s="2" t="s">
        <v>975</v>
      </c>
      <c r="B19" s="2"/>
      <c r="C19" s="2"/>
      <c r="D19" s="83">
        <f>Fuselage!E61-'CG and Loading Diagram'!B34</f>
        <v>15.977900034511183</v>
      </c>
      <c r="E19" s="2" t="s">
        <v>5</v>
      </c>
      <c r="F19" s="2"/>
      <c r="G19" s="2"/>
    </row>
    <row r="20" spans="1:8">
      <c r="A20" s="2" t="s">
        <v>963</v>
      </c>
      <c r="B20" s="2"/>
      <c r="C20" s="2"/>
      <c r="D20" s="1">
        <v>0.13</v>
      </c>
      <c r="E20" s="2" t="s">
        <v>331</v>
      </c>
      <c r="F20" s="2"/>
      <c r="G20" s="2"/>
    </row>
    <row r="21" spans="1:8" ht="17.25">
      <c r="A21" s="2" t="s">
        <v>964</v>
      </c>
      <c r="B21" s="2"/>
      <c r="C21" s="2"/>
      <c r="D21" s="83">
        <f>((D20*'Matching Diagram'!D92*'Matching Diagram'!D93)/(D19))</f>
        <v>16.058061457699825</v>
      </c>
      <c r="E21" s="2" t="s">
        <v>652</v>
      </c>
      <c r="F21" s="2"/>
      <c r="G21" s="2"/>
    </row>
    <row r="22" spans="1:8">
      <c r="A22" s="2" t="s">
        <v>965</v>
      </c>
      <c r="B22" s="2"/>
      <c r="C22" s="2"/>
      <c r="D22" s="1">
        <v>38</v>
      </c>
      <c r="E22" s="2" t="s">
        <v>444</v>
      </c>
      <c r="F22" s="2"/>
      <c r="G22" s="2"/>
    </row>
    <row r="23" spans="1:8">
      <c r="A23" s="2" t="s">
        <v>966</v>
      </c>
      <c r="B23" s="2"/>
      <c r="C23" s="2"/>
      <c r="D23" s="1">
        <v>1.5</v>
      </c>
      <c r="E23" s="2" t="s">
        <v>331</v>
      </c>
      <c r="F23" s="2"/>
      <c r="G23" s="2"/>
    </row>
    <row r="24" spans="1:8">
      <c r="A24" s="2" t="s">
        <v>967</v>
      </c>
      <c r="B24" s="2"/>
      <c r="C24" s="2"/>
      <c r="D24" s="1">
        <v>0.6</v>
      </c>
      <c r="E24" s="2" t="s">
        <v>331</v>
      </c>
      <c r="F24" s="2"/>
      <c r="G24" s="2"/>
    </row>
    <row r="25" spans="1:8">
      <c r="A25" s="2" t="s">
        <v>968</v>
      </c>
      <c r="B25" s="2"/>
      <c r="C25" s="2"/>
      <c r="D25" s="83">
        <f>SQRT(D21*D23)</f>
        <v>4.907860245213767</v>
      </c>
      <c r="E25" s="2" t="s">
        <v>5</v>
      </c>
      <c r="F25" s="2"/>
      <c r="G25" s="2"/>
    </row>
    <row r="26" spans="1:8">
      <c r="A26" s="2" t="s">
        <v>969</v>
      </c>
      <c r="B26" s="2"/>
      <c r="C26" s="2"/>
      <c r="D26" s="83">
        <f>((2*D21)/((1+D24)*D25))</f>
        <v>4.0898835376781388</v>
      </c>
      <c r="E26" s="2" t="s">
        <v>5</v>
      </c>
      <c r="F26" s="2"/>
      <c r="G26" s="2"/>
    </row>
    <row r="27" spans="1:8">
      <c r="A27" s="2" t="s">
        <v>970</v>
      </c>
      <c r="B27" s="2"/>
      <c r="C27" s="2"/>
      <c r="D27" s="83">
        <f>D26*D24</f>
        <v>2.453930122606883</v>
      </c>
      <c r="E27" s="2" t="s">
        <v>5</v>
      </c>
      <c r="F27" s="2"/>
      <c r="G27" s="2"/>
    </row>
    <row r="28" spans="1:8">
      <c r="A28" s="2" t="s">
        <v>971</v>
      </c>
      <c r="B28" s="2"/>
      <c r="C28" s="2"/>
      <c r="D28" s="84">
        <f>((2*D26)/(3))*((1+D24+D24^2)/(1+D24))</f>
        <v>3.3400715557704799</v>
      </c>
      <c r="E28" s="2" t="s">
        <v>5</v>
      </c>
      <c r="F28" s="2"/>
      <c r="G28" s="2"/>
    </row>
    <row r="29" spans="1:8">
      <c r="A29" s="37" t="s">
        <v>976</v>
      </c>
      <c r="B29" s="2"/>
      <c r="C29" s="2"/>
      <c r="D29" s="2"/>
      <c r="E29" s="2"/>
      <c r="F29" s="2"/>
      <c r="G29" s="2"/>
    </row>
    <row r="30" spans="1:8">
      <c r="A30" s="2"/>
      <c r="B30" s="2"/>
      <c r="C30" s="2"/>
      <c r="D30" s="2"/>
      <c r="E30" s="2"/>
      <c r="F30" s="2"/>
      <c r="G30" s="2"/>
    </row>
    <row r="31" spans="1:8">
      <c r="A31" s="7" t="s">
        <v>977</v>
      </c>
      <c r="B31" s="2"/>
      <c r="C31" s="2"/>
      <c r="D31" s="2"/>
      <c r="E31" s="2"/>
      <c r="F31" s="2"/>
      <c r="G31" s="2"/>
    </row>
    <row r="32" spans="1:8">
      <c r="A32" s="37" t="s">
        <v>978</v>
      </c>
      <c r="B32" s="2"/>
      <c r="C32" s="2"/>
      <c r="D32" s="2"/>
      <c r="E32" s="2"/>
      <c r="F32" s="2"/>
      <c r="G32" s="2"/>
    </row>
    <row r="33" spans="1:7">
      <c r="A33" s="37" t="s">
        <v>979</v>
      </c>
      <c r="B33" s="2"/>
      <c r="C33" s="2"/>
      <c r="D33" s="2"/>
      <c r="E33" s="2"/>
      <c r="F33" s="2"/>
      <c r="G33" s="2"/>
    </row>
    <row r="34" spans="1:7">
      <c r="A34" s="2"/>
      <c r="B34" s="2"/>
      <c r="C34" s="2"/>
      <c r="D34" s="2"/>
      <c r="E34" s="2"/>
      <c r="F34" s="2"/>
      <c r="G34" s="2"/>
    </row>
    <row r="35" spans="1:7">
      <c r="A35" s="2"/>
      <c r="B35" s="2"/>
      <c r="C35" s="2"/>
      <c r="D35" s="2"/>
      <c r="E35" s="2"/>
      <c r="F35" s="2"/>
      <c r="G35" s="2"/>
    </row>
  </sheetData>
  <sheetProtection algorithmName="SHA-512" hashValue="YmE9hBRlYIuNp3V2Fp24rVMCGlgSUc/V77WZd3quDavI42SZSef1nRgPjBoaE3/Z8DNJ9Delyj77gmP3DegzZw==" saltValue="1i/hk2ocgmbH8W0UeE27NA==" spinCount="100000" sheet="1" objects="1" scenarios="1" formatCells="0"/>
  <mergeCells count="2">
    <mergeCell ref="A2:D2"/>
    <mergeCell ref="A17:D17"/>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33A1-A272-440A-9F3E-E3D2C023A1A7}">
  <sheetPr codeName="Sheet9"/>
  <dimension ref="A6:K36"/>
  <sheetViews>
    <sheetView workbookViewId="0"/>
  </sheetViews>
  <sheetFormatPr defaultRowHeight="15"/>
  <cols>
    <col min="3" max="3" width="11.42578125" bestFit="1" customWidth="1"/>
  </cols>
  <sheetData>
    <row r="6" spans="1:11">
      <c r="C6" t="s">
        <v>980</v>
      </c>
      <c r="F6" t="s">
        <v>981</v>
      </c>
    </row>
    <row r="7" spans="1:11">
      <c r="F7" t="s">
        <v>982</v>
      </c>
    </row>
    <row r="10" spans="1:11">
      <c r="A10" t="s">
        <v>983</v>
      </c>
    </row>
    <row r="11" spans="1:11">
      <c r="K11" t="s">
        <v>984</v>
      </c>
    </row>
    <row r="12" spans="1:11">
      <c r="A12" t="s">
        <v>985</v>
      </c>
      <c r="C12" t="s">
        <v>986</v>
      </c>
      <c r="D12" t="s">
        <v>987</v>
      </c>
      <c r="F12" t="s">
        <v>988</v>
      </c>
      <c r="H12" t="s">
        <v>989</v>
      </c>
      <c r="K12" t="s">
        <v>990</v>
      </c>
    </row>
    <row r="13" spans="1:11">
      <c r="A13" t="s">
        <v>523</v>
      </c>
      <c r="C13" t="s">
        <v>613</v>
      </c>
      <c r="D13" t="s">
        <v>991</v>
      </c>
      <c r="F13" t="s">
        <v>609</v>
      </c>
      <c r="H13" t="s">
        <v>453</v>
      </c>
      <c r="K13" t="s">
        <v>992</v>
      </c>
    </row>
    <row r="14" spans="1:11">
      <c r="A14" t="s">
        <v>993</v>
      </c>
      <c r="C14" t="s">
        <v>994</v>
      </c>
      <c r="D14" t="s">
        <v>995</v>
      </c>
      <c r="H14" t="s">
        <v>454</v>
      </c>
    </row>
    <row r="15" spans="1:11">
      <c r="A15" t="s">
        <v>996</v>
      </c>
      <c r="D15" t="s">
        <v>997</v>
      </c>
    </row>
    <row r="16" spans="1:11">
      <c r="A16" t="s">
        <v>998</v>
      </c>
      <c r="D16" t="s">
        <v>999</v>
      </c>
    </row>
    <row r="17" spans="1:6">
      <c r="D17" t="s">
        <v>1000</v>
      </c>
      <c r="F17" t="s">
        <v>1001</v>
      </c>
    </row>
    <row r="18" spans="1:6">
      <c r="A18" t="s">
        <v>551</v>
      </c>
      <c r="C18" t="s">
        <v>1002</v>
      </c>
      <c r="F18" t="s">
        <v>1003</v>
      </c>
    </row>
    <row r="19" spans="1:6">
      <c r="A19" t="s">
        <v>552</v>
      </c>
      <c r="C19" t="s">
        <v>560</v>
      </c>
      <c r="D19" t="s">
        <v>1004</v>
      </c>
      <c r="F19" t="s">
        <v>1005</v>
      </c>
    </row>
    <row r="20" spans="1:6">
      <c r="A20" t="s">
        <v>1006</v>
      </c>
      <c r="D20" t="s">
        <v>1007</v>
      </c>
      <c r="F20" t="s">
        <v>617</v>
      </c>
    </row>
    <row r="21" spans="1:6">
      <c r="A21" t="s">
        <v>1008</v>
      </c>
      <c r="D21" t="s">
        <v>1009</v>
      </c>
      <c r="F21" t="s">
        <v>1010</v>
      </c>
    </row>
    <row r="22" spans="1:6">
      <c r="D22" t="s">
        <v>605</v>
      </c>
      <c r="F22" t="s">
        <v>1011</v>
      </c>
    </row>
    <row r="23" spans="1:6">
      <c r="A23" t="s">
        <v>532</v>
      </c>
      <c r="C23" t="s">
        <v>529</v>
      </c>
      <c r="F23" t="s">
        <v>1012</v>
      </c>
    </row>
    <row r="24" spans="1:6">
      <c r="A24" t="s">
        <v>533</v>
      </c>
      <c r="C24" t="s">
        <v>549</v>
      </c>
      <c r="F24" t="s">
        <v>1013</v>
      </c>
    </row>
    <row r="25" spans="1:6">
      <c r="A25" t="s">
        <v>518</v>
      </c>
      <c r="C25" t="s">
        <v>530</v>
      </c>
      <c r="F25" t="s">
        <v>1014</v>
      </c>
    </row>
    <row r="26" spans="1:6">
      <c r="A26" t="s">
        <v>558</v>
      </c>
    </row>
    <row r="27" spans="1:6">
      <c r="C27" t="s">
        <v>627</v>
      </c>
      <c r="F27" t="s">
        <v>1015</v>
      </c>
    </row>
    <row r="28" spans="1:6">
      <c r="A28" t="s">
        <v>795</v>
      </c>
      <c r="C28" t="s">
        <v>1016</v>
      </c>
      <c r="F28" t="s">
        <v>1017</v>
      </c>
    </row>
    <row r="29" spans="1:6">
      <c r="A29" t="s">
        <v>1018</v>
      </c>
      <c r="F29" t="s">
        <v>631</v>
      </c>
    </row>
    <row r="30" spans="1:6">
      <c r="A30" t="s">
        <v>796</v>
      </c>
      <c r="C30" t="s">
        <v>1019</v>
      </c>
      <c r="F30" t="s">
        <v>1020</v>
      </c>
    </row>
    <row r="31" spans="1:6">
      <c r="C31" t="s">
        <v>625</v>
      </c>
      <c r="F31" t="s">
        <v>1021</v>
      </c>
    </row>
    <row r="32" spans="1:6">
      <c r="F32" t="s">
        <v>1022</v>
      </c>
    </row>
    <row r="33" spans="3:6">
      <c r="C33" t="s">
        <v>1023</v>
      </c>
      <c r="F33" t="s">
        <v>1024</v>
      </c>
    </row>
    <row r="34" spans="3:6">
      <c r="C34" t="s">
        <v>623</v>
      </c>
      <c r="F34" t="s">
        <v>1025</v>
      </c>
    </row>
    <row r="35" spans="3:6">
      <c r="C35" t="s">
        <v>1026</v>
      </c>
      <c r="F35" t="s">
        <v>1027</v>
      </c>
    </row>
    <row r="36" spans="3:6">
      <c r="F36" t="s">
        <v>1028</v>
      </c>
    </row>
  </sheetData>
  <sheetProtection algorithmName="SHA-512" hashValue="Lx2elClJk1v1ZqoebNXIf3KZa/L2MYALL2PIwy0fN/P2xHQSU7spggY137OMTcF2YQ9ePJ4oZ55r3o9I3o6+SQ==" saltValue="tY7kgi19emOG9yF62HjCm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795d6fe-7554-4c3b-974d-aeb06597f0a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35C3412B023A5459331F457A8BDF40D" ma:contentTypeVersion="6" ma:contentTypeDescription="Een nieuw document maken." ma:contentTypeScope="" ma:versionID="b23bf178d9759f21b0edd9ad5004319a">
  <xsd:schema xmlns:xsd="http://www.w3.org/2001/XMLSchema" xmlns:xs="http://www.w3.org/2001/XMLSchema" xmlns:p="http://schemas.microsoft.com/office/2006/metadata/properties" xmlns:ns3="2795d6fe-7554-4c3b-974d-aeb06597f0a3" targetNamespace="http://schemas.microsoft.com/office/2006/metadata/properties" ma:root="true" ma:fieldsID="0ede4eb3b06a3404c0cc5e2510dc3a79" ns3:_="">
    <xsd:import namespace="2795d6fe-7554-4c3b-974d-aeb06597f0a3"/>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95d6fe-7554-4c3b-974d-aeb06597f0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4C5F6B-9CE6-4980-93EC-E038CC0A98DD}"/>
</file>

<file path=customXml/itemProps2.xml><?xml version="1.0" encoding="utf-8"?>
<ds:datastoreItem xmlns:ds="http://schemas.openxmlformats.org/officeDocument/2006/customXml" ds:itemID="{8FF7EC43-FC79-4378-9568-29E5F2C7ABD7}"/>
</file>

<file path=customXml/itemProps3.xml><?xml version="1.0" encoding="utf-8"?>
<ds:datastoreItem xmlns:ds="http://schemas.openxmlformats.org/officeDocument/2006/customXml" ds:itemID="{75DA2775-19C7-4D5A-806B-E626C7599720}"/>
</file>

<file path=docProps/app.xml><?xml version="1.0" encoding="utf-8"?>
<Properties xmlns="http://schemas.openxmlformats.org/officeDocument/2006/extended-properties" xmlns:vt="http://schemas.openxmlformats.org/officeDocument/2006/docPropsVTypes">
  <Application>Microsoft Excel Online</Application>
  <Manager/>
  <Company>TU Delft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Goga OO</dc:creator>
  <cp:keywords/>
  <dc:description/>
  <cp:lastModifiedBy/>
  <cp:revision/>
  <dcterms:created xsi:type="dcterms:W3CDTF">2023-09-15T08:37:40Z</dcterms:created>
  <dcterms:modified xsi:type="dcterms:W3CDTF">2026-04-02T10:16:20Z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0x010100E35C3412B023A5459331F457A8BDF40D</vt:lpwstr>
  </property>
</Properties>
</file>